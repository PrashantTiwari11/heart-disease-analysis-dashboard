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3556665F8377135D/Documents/"/>
    </mc:Choice>
  </mc:AlternateContent>
  <xr:revisionPtr revIDLastSave="1141" documentId="8_{C02F02E0-531C-4D91-847D-0BAA2FC6700A}" xr6:coauthVersionLast="47" xr6:coauthVersionMax="47" xr10:uidLastSave="{34C74E7E-3241-499F-9A2F-34828926B1D9}"/>
  <bookViews>
    <workbookView xWindow="-108" yWindow="-108" windowWidth="23256" windowHeight="12456" activeTab="3" xr2:uid="{E55D73A3-36F1-45D4-8460-04CAD5AD3E90}"/>
  </bookViews>
  <sheets>
    <sheet name="ROW_DATA" sheetId="1" r:id="rId1"/>
    <sheet name="LOOKUP" sheetId="2" r:id="rId2"/>
    <sheet name="PIVOT" sheetId="3" state="hidden" r:id="rId3"/>
    <sheet name="DASHBOARD" sheetId="4" r:id="rId4"/>
  </sheets>
  <definedNames>
    <definedName name="Slicer_Age_Group">#N/A</definedName>
    <definedName name="Slicer_BP_Category">#N/A</definedName>
    <definedName name="Slicer_Chest_Pain_Type">#N/A</definedName>
    <definedName name="Slicer_Disease_Status">#N/A</definedName>
    <definedName name="Slicer_Gender">#N/A</definedName>
    <definedName name="Slicer_sex">#N/A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O1027" i="1"/>
  <c r="O1028" i="1"/>
  <c r="P1027" i="1"/>
  <c r="P1028" i="1"/>
  <c r="R1027" i="1"/>
  <c r="R1028" i="1"/>
  <c r="S1027" i="1"/>
  <c r="S1028" i="1"/>
  <c r="T4" i="1" a="1"/>
  <c r="T5" i="1" a="1"/>
  <c r="T6" i="1" a="1"/>
  <c r="T7" i="1" a="1"/>
  <c r="T8" i="1" a="1"/>
  <c r="T9" i="1" a="1"/>
  <c r="T10" i="1" a="1"/>
  <c r="T11" i="1" a="1"/>
  <c r="T12" i="1" a="1"/>
  <c r="T13" i="1" a="1"/>
  <c r="T14" i="1" a="1"/>
  <c r="T15" i="1" a="1"/>
  <c r="T16" i="1" a="1"/>
  <c r="T17" i="1" a="1"/>
  <c r="T18" i="1" a="1"/>
  <c r="T19" i="1" a="1"/>
  <c r="T20" i="1" a="1"/>
  <c r="T21" i="1" a="1"/>
  <c r="T22" i="1" a="1"/>
  <c r="T23" i="1" a="1"/>
  <c r="T24" i="1" a="1"/>
  <c r="T25" i="1" a="1"/>
  <c r="T26" i="1" a="1"/>
  <c r="T27" i="1" a="1"/>
  <c r="T28" i="1" a="1"/>
  <c r="T29" i="1" a="1"/>
  <c r="T30" i="1" a="1"/>
  <c r="T31" i="1" a="1"/>
  <c r="T32" i="1" a="1"/>
  <c r="T33" i="1" a="1"/>
  <c r="T34" i="1" a="1"/>
  <c r="T35" i="1" a="1"/>
  <c r="T36" i="1" a="1"/>
  <c r="T37" i="1" a="1"/>
  <c r="T38" i="1" a="1"/>
  <c r="T39" i="1" a="1"/>
  <c r="T40" i="1" a="1"/>
  <c r="T41" i="1" a="1"/>
  <c r="T42" i="1" a="1"/>
  <c r="T43" i="1" a="1"/>
  <c r="T44" i="1" a="1"/>
  <c r="T45" i="1" a="1"/>
  <c r="T46" i="1" a="1"/>
  <c r="T47" i="1" a="1"/>
  <c r="T48" i="1" a="1"/>
  <c r="T49" i="1" a="1"/>
  <c r="T50" i="1" a="1"/>
  <c r="T51" i="1" a="1"/>
  <c r="T52" i="1" a="1"/>
  <c r="T53" i="1" a="1"/>
  <c r="T54" i="1" a="1"/>
  <c r="T55" i="1" a="1"/>
  <c r="T56" i="1" a="1"/>
  <c r="T57" i="1" a="1"/>
  <c r="T58" i="1" a="1"/>
  <c r="T59" i="1" a="1"/>
  <c r="T60" i="1" a="1"/>
  <c r="T61" i="1" a="1"/>
  <c r="T62" i="1" a="1"/>
  <c r="T63" i="1" a="1"/>
  <c r="T64" i="1" a="1"/>
  <c r="T65" i="1" a="1"/>
  <c r="T66" i="1" a="1"/>
  <c r="T67" i="1" a="1"/>
  <c r="T68" i="1" a="1"/>
  <c r="T69" i="1" a="1"/>
  <c r="T70" i="1" a="1"/>
  <c r="T71" i="1" a="1"/>
  <c r="T72" i="1" a="1"/>
  <c r="T73" i="1" a="1"/>
  <c r="T74" i="1" a="1"/>
  <c r="T75" i="1" a="1"/>
  <c r="T76" i="1" a="1"/>
  <c r="T77" i="1" a="1"/>
  <c r="T78" i="1" a="1"/>
  <c r="T79" i="1" a="1"/>
  <c r="T80" i="1" a="1"/>
  <c r="T81" i="1" a="1"/>
  <c r="T82" i="1" a="1"/>
  <c r="T83" i="1" a="1"/>
  <c r="T84" i="1" a="1"/>
  <c r="T85" i="1" a="1"/>
  <c r="T86" i="1" a="1"/>
  <c r="T87" i="1" a="1"/>
  <c r="T88" i="1" a="1"/>
  <c r="T89" i="1" a="1"/>
  <c r="T90" i="1" a="1"/>
  <c r="T91" i="1" a="1"/>
  <c r="T92" i="1" a="1"/>
  <c r="T93" i="1" a="1"/>
  <c r="T94" i="1" a="1"/>
  <c r="T95" i="1" a="1"/>
  <c r="T96" i="1" a="1"/>
  <c r="T97" i="1" a="1"/>
  <c r="T98" i="1" a="1"/>
  <c r="T99" i="1" a="1"/>
  <c r="T100" i="1" a="1"/>
  <c r="T101" i="1" a="1"/>
  <c r="T102" i="1" a="1"/>
  <c r="T103" i="1" a="1"/>
  <c r="T104" i="1" a="1"/>
  <c r="T105" i="1" a="1"/>
  <c r="T106" i="1" a="1"/>
  <c r="T107" i="1" a="1"/>
  <c r="T108" i="1" a="1"/>
  <c r="T109" i="1" a="1"/>
  <c r="T110" i="1" a="1"/>
  <c r="T111" i="1" a="1"/>
  <c r="T112" i="1" a="1"/>
  <c r="T113" i="1" a="1"/>
  <c r="T114" i="1" a="1"/>
  <c r="T115" i="1" a="1"/>
  <c r="T116" i="1" a="1"/>
  <c r="T117" i="1" a="1"/>
  <c r="T118" i="1" a="1"/>
  <c r="T119" i="1" a="1"/>
  <c r="T120" i="1" a="1"/>
  <c r="T121" i="1" a="1"/>
  <c r="T122" i="1" a="1"/>
  <c r="T123" i="1" a="1"/>
  <c r="T124" i="1" a="1"/>
  <c r="T125" i="1" a="1"/>
  <c r="T126" i="1" a="1"/>
  <c r="T127" i="1" a="1"/>
  <c r="T128" i="1" a="1"/>
  <c r="T129" i="1" a="1"/>
  <c r="T130" i="1" a="1"/>
  <c r="T131" i="1" a="1"/>
  <c r="T132" i="1" a="1"/>
  <c r="T133" i="1" a="1"/>
  <c r="T134" i="1" a="1"/>
  <c r="T135" i="1" a="1"/>
  <c r="T136" i="1" a="1"/>
  <c r="T137" i="1" a="1"/>
  <c r="T138" i="1" a="1"/>
  <c r="T139" i="1" a="1"/>
  <c r="T140" i="1" a="1"/>
  <c r="T141" i="1" a="1"/>
  <c r="T142" i="1" a="1"/>
  <c r="T143" i="1" a="1"/>
  <c r="T144" i="1" a="1"/>
  <c r="T145" i="1" a="1"/>
  <c r="T146" i="1" a="1"/>
  <c r="T147" i="1" a="1"/>
  <c r="T148" i="1" a="1"/>
  <c r="T149" i="1" a="1"/>
  <c r="T150" i="1" a="1"/>
  <c r="T151" i="1" a="1"/>
  <c r="T152" i="1" a="1"/>
  <c r="T153" i="1" a="1"/>
  <c r="T154" i="1" a="1"/>
  <c r="T155" i="1" a="1"/>
  <c r="T156" i="1" a="1"/>
  <c r="T157" i="1" a="1"/>
  <c r="T158" i="1" a="1"/>
  <c r="T159" i="1" a="1"/>
  <c r="T160" i="1" a="1"/>
  <c r="T161" i="1" a="1"/>
  <c r="T162" i="1" a="1"/>
  <c r="T163" i="1" a="1"/>
  <c r="T164" i="1" a="1"/>
  <c r="T165" i="1" a="1"/>
  <c r="T166" i="1" a="1"/>
  <c r="T167" i="1" a="1"/>
  <c r="T168" i="1" a="1"/>
  <c r="T169" i="1" a="1"/>
  <c r="T170" i="1" a="1"/>
  <c r="T171" i="1" a="1"/>
  <c r="T172" i="1" a="1"/>
  <c r="T173" i="1" a="1"/>
  <c r="T174" i="1" a="1"/>
  <c r="T175" i="1" a="1"/>
  <c r="T176" i="1" a="1"/>
  <c r="T177" i="1" a="1"/>
  <c r="T178" i="1" a="1"/>
  <c r="T179" i="1" a="1"/>
  <c r="T180" i="1" a="1"/>
  <c r="T181" i="1" a="1"/>
  <c r="T182" i="1" a="1"/>
  <c r="T183" i="1" a="1"/>
  <c r="T184" i="1" a="1"/>
  <c r="T185" i="1" a="1"/>
  <c r="T186" i="1" a="1"/>
  <c r="T187" i="1" a="1"/>
  <c r="T188" i="1" a="1"/>
  <c r="T189" i="1" a="1"/>
  <c r="T190" i="1" a="1"/>
  <c r="T191" i="1" a="1"/>
  <c r="T192" i="1" a="1"/>
  <c r="T193" i="1" a="1"/>
  <c r="T194" i="1" a="1"/>
  <c r="T195" i="1" a="1"/>
  <c r="T196" i="1" a="1"/>
  <c r="T197" i="1" a="1"/>
  <c r="T198" i="1" a="1"/>
  <c r="T199" i="1" a="1"/>
  <c r="T200" i="1" a="1"/>
  <c r="T201" i="1" a="1"/>
  <c r="T202" i="1" a="1"/>
  <c r="T203" i="1" a="1"/>
  <c r="T204" i="1" a="1"/>
  <c r="T205" i="1" a="1"/>
  <c r="T206" i="1" a="1"/>
  <c r="T207" i="1" a="1"/>
  <c r="T208" i="1" a="1"/>
  <c r="T209" i="1" a="1"/>
  <c r="T210" i="1" a="1"/>
  <c r="T211" i="1" a="1"/>
  <c r="T212" i="1" a="1"/>
  <c r="T213" i="1" a="1"/>
  <c r="T214" i="1" a="1"/>
  <c r="T215" i="1" a="1"/>
  <c r="T216" i="1" a="1"/>
  <c r="T217" i="1" a="1"/>
  <c r="T218" i="1" a="1"/>
  <c r="T219" i="1" a="1"/>
  <c r="T220" i="1" a="1"/>
  <c r="T221" i="1" a="1"/>
  <c r="T222" i="1" a="1"/>
  <c r="T223" i="1" a="1"/>
  <c r="T224" i="1" a="1"/>
  <c r="T225" i="1" a="1"/>
  <c r="T226" i="1" a="1"/>
  <c r="T227" i="1" a="1"/>
  <c r="T228" i="1" a="1"/>
  <c r="T229" i="1" a="1"/>
  <c r="T230" i="1" a="1"/>
  <c r="T231" i="1" a="1"/>
  <c r="T232" i="1" a="1"/>
  <c r="T233" i="1" a="1"/>
  <c r="T234" i="1" a="1"/>
  <c r="T235" i="1" a="1"/>
  <c r="T236" i="1" a="1"/>
  <c r="T237" i="1" a="1"/>
  <c r="T238" i="1" a="1"/>
  <c r="T239" i="1" a="1"/>
  <c r="T240" i="1" a="1"/>
  <c r="T241" i="1" a="1"/>
  <c r="T242" i="1" a="1"/>
  <c r="T243" i="1" a="1"/>
  <c r="T244" i="1" a="1"/>
  <c r="T245" i="1" a="1"/>
  <c r="T246" i="1" a="1"/>
  <c r="T247" i="1" a="1"/>
  <c r="T248" i="1" a="1"/>
  <c r="T249" i="1" a="1"/>
  <c r="T250" i="1" a="1"/>
  <c r="T251" i="1" a="1"/>
  <c r="T252" i="1" a="1"/>
  <c r="T253" i="1" a="1"/>
  <c r="T254" i="1" a="1"/>
  <c r="T255" i="1" a="1"/>
  <c r="T256" i="1" a="1"/>
  <c r="T257" i="1" a="1"/>
  <c r="T258" i="1" a="1"/>
  <c r="T259" i="1" a="1"/>
  <c r="T260" i="1" a="1"/>
  <c r="T261" i="1" a="1"/>
  <c r="T262" i="1" a="1"/>
  <c r="T263" i="1" a="1"/>
  <c r="T264" i="1" a="1"/>
  <c r="T265" i="1" a="1"/>
  <c r="T266" i="1" a="1"/>
  <c r="T267" i="1" a="1"/>
  <c r="T268" i="1" a="1"/>
  <c r="T269" i="1" a="1"/>
  <c r="T270" i="1" a="1"/>
  <c r="T271" i="1" a="1"/>
  <c r="T272" i="1" a="1"/>
  <c r="T273" i="1" a="1"/>
  <c r="T274" i="1" a="1"/>
  <c r="T275" i="1" a="1"/>
  <c r="T276" i="1" a="1"/>
  <c r="T277" i="1" a="1"/>
  <c r="T278" i="1" a="1"/>
  <c r="T279" i="1" a="1"/>
  <c r="T280" i="1" a="1"/>
  <c r="T281" i="1" a="1"/>
  <c r="T282" i="1" a="1"/>
  <c r="T283" i="1" a="1"/>
  <c r="T284" i="1" a="1"/>
  <c r="T285" i="1" a="1"/>
  <c r="T286" i="1" a="1"/>
  <c r="T287" i="1" a="1"/>
  <c r="T288" i="1" a="1"/>
  <c r="T289" i="1" a="1"/>
  <c r="T290" i="1" a="1"/>
  <c r="T291" i="1" a="1"/>
  <c r="T292" i="1" a="1"/>
  <c r="T293" i="1" a="1"/>
  <c r="T294" i="1" a="1"/>
  <c r="T295" i="1" a="1"/>
  <c r="T296" i="1" a="1"/>
  <c r="T297" i="1" a="1"/>
  <c r="T298" i="1" a="1"/>
  <c r="T299" i="1" a="1"/>
  <c r="T300" i="1" a="1"/>
  <c r="T301" i="1" a="1"/>
  <c r="T302" i="1" a="1"/>
  <c r="T303" i="1" a="1"/>
  <c r="T304" i="1" a="1"/>
  <c r="T305" i="1" a="1"/>
  <c r="T306" i="1" a="1"/>
  <c r="T307" i="1" a="1"/>
  <c r="T308" i="1" a="1"/>
  <c r="T309" i="1" a="1"/>
  <c r="T310" i="1" a="1"/>
  <c r="T311" i="1" a="1"/>
  <c r="T312" i="1" a="1"/>
  <c r="T313" i="1" a="1"/>
  <c r="T314" i="1" a="1"/>
  <c r="T315" i="1" a="1"/>
  <c r="T316" i="1" a="1"/>
  <c r="T317" i="1" a="1"/>
  <c r="T318" i="1" a="1"/>
  <c r="T319" i="1" a="1"/>
  <c r="T320" i="1" a="1"/>
  <c r="T321" i="1" a="1"/>
  <c r="T322" i="1" a="1"/>
  <c r="T323" i="1" a="1"/>
  <c r="T324" i="1" a="1"/>
  <c r="T325" i="1" a="1"/>
  <c r="T326" i="1" a="1"/>
  <c r="T327" i="1" a="1"/>
  <c r="T328" i="1" a="1"/>
  <c r="T329" i="1" a="1"/>
  <c r="T330" i="1" a="1"/>
  <c r="T331" i="1" a="1"/>
  <c r="T332" i="1" a="1"/>
  <c r="T333" i="1" a="1"/>
  <c r="T334" i="1" a="1"/>
  <c r="T335" i="1" a="1"/>
  <c r="T336" i="1" a="1"/>
  <c r="T337" i="1" a="1"/>
  <c r="T338" i="1" a="1"/>
  <c r="T339" i="1" a="1"/>
  <c r="T340" i="1" a="1"/>
  <c r="T341" i="1" a="1"/>
  <c r="T342" i="1" a="1"/>
  <c r="T343" i="1" a="1"/>
  <c r="T344" i="1" a="1"/>
  <c r="T345" i="1" a="1"/>
  <c r="T346" i="1" a="1"/>
  <c r="T347" i="1" a="1"/>
  <c r="T348" i="1" a="1"/>
  <c r="T349" i="1" a="1"/>
  <c r="T350" i="1" a="1"/>
  <c r="T351" i="1" a="1"/>
  <c r="T352" i="1" a="1"/>
  <c r="T353" i="1" a="1"/>
  <c r="T354" i="1" a="1"/>
  <c r="T355" i="1" a="1"/>
  <c r="T356" i="1" a="1"/>
  <c r="T357" i="1" a="1"/>
  <c r="T358" i="1" a="1"/>
  <c r="T359" i="1" a="1"/>
  <c r="T360" i="1" a="1"/>
  <c r="T361" i="1" a="1"/>
  <c r="T362" i="1" a="1"/>
  <c r="T363" i="1" a="1"/>
  <c r="T364" i="1" a="1"/>
  <c r="T365" i="1" a="1"/>
  <c r="T366" i="1" a="1"/>
  <c r="T367" i="1" a="1"/>
  <c r="T368" i="1" a="1"/>
  <c r="T369" i="1" a="1"/>
  <c r="T370" i="1" a="1"/>
  <c r="T371" i="1" a="1"/>
  <c r="T372" i="1" a="1"/>
  <c r="T373" i="1" a="1"/>
  <c r="T374" i="1" a="1"/>
  <c r="T375" i="1" a="1"/>
  <c r="T376" i="1" a="1"/>
  <c r="T377" i="1" a="1"/>
  <c r="T378" i="1" a="1"/>
  <c r="T379" i="1" a="1"/>
  <c r="T380" i="1" a="1"/>
  <c r="T381" i="1" a="1"/>
  <c r="T382" i="1" a="1"/>
  <c r="T383" i="1" a="1"/>
  <c r="T384" i="1" a="1"/>
  <c r="T385" i="1" a="1"/>
  <c r="T386" i="1" a="1"/>
  <c r="T387" i="1" a="1"/>
  <c r="T388" i="1" a="1"/>
  <c r="T389" i="1" a="1"/>
  <c r="T390" i="1" a="1"/>
  <c r="T391" i="1" a="1"/>
  <c r="T392" i="1" a="1"/>
  <c r="T393" i="1" a="1"/>
  <c r="T394" i="1" a="1"/>
  <c r="T395" i="1" a="1"/>
  <c r="T396" i="1" a="1"/>
  <c r="T397" i="1" a="1"/>
  <c r="T398" i="1" a="1"/>
  <c r="T399" i="1" a="1"/>
  <c r="T400" i="1" a="1"/>
  <c r="T401" i="1" a="1"/>
  <c r="T402" i="1" a="1"/>
  <c r="T403" i="1" a="1"/>
  <c r="T404" i="1" a="1"/>
  <c r="T405" i="1" a="1"/>
  <c r="T406" i="1" a="1"/>
  <c r="T407" i="1" a="1"/>
  <c r="T408" i="1" a="1"/>
  <c r="T409" i="1" a="1"/>
  <c r="T410" i="1" a="1"/>
  <c r="T411" i="1" a="1"/>
  <c r="T412" i="1" a="1"/>
  <c r="T413" i="1" a="1"/>
  <c r="T414" i="1" a="1"/>
  <c r="T415" i="1" a="1"/>
  <c r="T416" i="1" a="1"/>
  <c r="T417" i="1" a="1"/>
  <c r="T418" i="1" a="1"/>
  <c r="T419" i="1" a="1"/>
  <c r="T420" i="1" a="1"/>
  <c r="T421" i="1" a="1"/>
  <c r="T422" i="1" a="1"/>
  <c r="T423" i="1" a="1"/>
  <c r="T424" i="1" a="1"/>
  <c r="T425" i="1" a="1"/>
  <c r="T426" i="1" a="1"/>
  <c r="T427" i="1" a="1"/>
  <c r="T428" i="1" a="1"/>
  <c r="T429" i="1" a="1"/>
  <c r="T430" i="1" a="1"/>
  <c r="T431" i="1" a="1"/>
  <c r="T432" i="1" a="1"/>
  <c r="T433" i="1" a="1"/>
  <c r="T434" i="1" a="1"/>
  <c r="T435" i="1" a="1"/>
  <c r="T436" i="1" a="1"/>
  <c r="T437" i="1" a="1"/>
  <c r="T438" i="1" a="1"/>
  <c r="T439" i="1" a="1"/>
  <c r="T440" i="1" a="1"/>
  <c r="T441" i="1" a="1"/>
  <c r="T442" i="1" a="1"/>
  <c r="T443" i="1" a="1"/>
  <c r="T444" i="1" a="1"/>
  <c r="T445" i="1" a="1"/>
  <c r="T446" i="1" a="1"/>
  <c r="T447" i="1" a="1"/>
  <c r="T448" i="1" a="1"/>
  <c r="T449" i="1" a="1"/>
  <c r="T450" i="1" a="1"/>
  <c r="T451" i="1" a="1"/>
  <c r="T452" i="1" a="1"/>
  <c r="T453" i="1" a="1"/>
  <c r="T454" i="1" a="1"/>
  <c r="T455" i="1" a="1"/>
  <c r="T456" i="1" a="1"/>
  <c r="T457" i="1" a="1"/>
  <c r="T458" i="1" a="1"/>
  <c r="T459" i="1" a="1"/>
  <c r="T460" i="1" a="1"/>
  <c r="T461" i="1" a="1"/>
  <c r="T462" i="1" a="1"/>
  <c r="T463" i="1" a="1"/>
  <c r="T464" i="1" a="1"/>
  <c r="T465" i="1" a="1"/>
  <c r="T466" i="1" a="1"/>
  <c r="T467" i="1" a="1"/>
  <c r="T468" i="1" a="1"/>
  <c r="T469" i="1" a="1"/>
  <c r="T470" i="1" a="1"/>
  <c r="T471" i="1" a="1"/>
  <c r="T472" i="1" a="1"/>
  <c r="T473" i="1" a="1"/>
  <c r="T474" i="1" a="1"/>
  <c r="T475" i="1" a="1"/>
  <c r="T476" i="1" a="1"/>
  <c r="T477" i="1" a="1"/>
  <c r="T478" i="1" a="1"/>
  <c r="T479" i="1" a="1"/>
  <c r="T480" i="1" a="1"/>
  <c r="T481" i="1" a="1"/>
  <c r="T482" i="1" a="1"/>
  <c r="T483" i="1" a="1"/>
  <c r="T484" i="1" a="1"/>
  <c r="T485" i="1" a="1"/>
  <c r="T486" i="1" a="1"/>
  <c r="T487" i="1" a="1"/>
  <c r="T488" i="1" a="1"/>
  <c r="T489" i="1" a="1"/>
  <c r="T490" i="1" a="1"/>
  <c r="T491" i="1" a="1"/>
  <c r="T492" i="1" a="1"/>
  <c r="T493" i="1" a="1"/>
  <c r="T494" i="1" a="1"/>
  <c r="T495" i="1" a="1"/>
  <c r="T496" i="1" a="1"/>
  <c r="T497" i="1" a="1"/>
  <c r="T498" i="1" a="1"/>
  <c r="T499" i="1" a="1"/>
  <c r="T500" i="1" a="1"/>
  <c r="T501" i="1" a="1"/>
  <c r="T502" i="1" a="1"/>
  <c r="T503" i="1" a="1"/>
  <c r="T504" i="1" a="1"/>
  <c r="T505" i="1" a="1"/>
  <c r="T506" i="1" a="1"/>
  <c r="T507" i="1" a="1"/>
  <c r="T508" i="1" a="1"/>
  <c r="T509" i="1" a="1"/>
  <c r="T510" i="1" a="1"/>
  <c r="T511" i="1" a="1"/>
  <c r="T512" i="1" a="1"/>
  <c r="T513" i="1" a="1"/>
  <c r="T514" i="1" a="1"/>
  <c r="T515" i="1" a="1"/>
  <c r="T516" i="1" a="1"/>
  <c r="T517" i="1" a="1"/>
  <c r="T518" i="1" a="1"/>
  <c r="T519" i="1" a="1"/>
  <c r="T520" i="1" a="1"/>
  <c r="T521" i="1" a="1"/>
  <c r="T522" i="1" a="1"/>
  <c r="T523" i="1" a="1"/>
  <c r="T524" i="1" a="1"/>
  <c r="T525" i="1" a="1"/>
  <c r="T526" i="1" a="1"/>
  <c r="T527" i="1" a="1"/>
  <c r="T528" i="1" a="1"/>
  <c r="T529" i="1" a="1"/>
  <c r="T530" i="1" a="1"/>
  <c r="T531" i="1" a="1"/>
  <c r="T532" i="1" a="1"/>
  <c r="T533" i="1" a="1"/>
  <c r="T534" i="1" a="1"/>
  <c r="T535" i="1" a="1"/>
  <c r="T536" i="1" a="1"/>
  <c r="T537" i="1" a="1"/>
  <c r="T538" i="1" a="1"/>
  <c r="T539" i="1" a="1"/>
  <c r="T540" i="1" a="1"/>
  <c r="T541" i="1" a="1"/>
  <c r="T542" i="1" a="1"/>
  <c r="T543" i="1" a="1"/>
  <c r="T544" i="1" a="1"/>
  <c r="T545" i="1" a="1"/>
  <c r="T546" i="1" a="1"/>
  <c r="T547" i="1" a="1"/>
  <c r="T548" i="1" a="1"/>
  <c r="T549" i="1" a="1"/>
  <c r="T550" i="1" a="1"/>
  <c r="T551" i="1" a="1"/>
  <c r="T552" i="1" a="1"/>
  <c r="T553" i="1" a="1"/>
  <c r="T554" i="1" a="1"/>
  <c r="T555" i="1" a="1"/>
  <c r="T556" i="1" a="1"/>
  <c r="T557" i="1" a="1"/>
  <c r="T558" i="1" a="1"/>
  <c r="T559" i="1" a="1"/>
  <c r="T560" i="1" a="1"/>
  <c r="T561" i="1" a="1"/>
  <c r="T562" i="1" a="1"/>
  <c r="T563" i="1" a="1"/>
  <c r="T564" i="1" a="1"/>
  <c r="T565" i="1" a="1"/>
  <c r="T566" i="1" a="1"/>
  <c r="T567" i="1" a="1"/>
  <c r="T568" i="1" a="1"/>
  <c r="T569" i="1" a="1"/>
  <c r="T570" i="1" a="1"/>
  <c r="T571" i="1" a="1"/>
  <c r="T572" i="1" a="1"/>
  <c r="T573" i="1" a="1"/>
  <c r="T574" i="1" a="1"/>
  <c r="T575" i="1" a="1"/>
  <c r="T576" i="1" a="1"/>
  <c r="T577" i="1" a="1"/>
  <c r="T578" i="1" a="1"/>
  <c r="T579" i="1" a="1"/>
  <c r="T580" i="1" a="1"/>
  <c r="T581" i="1" a="1"/>
  <c r="T582" i="1" a="1"/>
  <c r="T583" i="1" a="1"/>
  <c r="T584" i="1" a="1"/>
  <c r="T585" i="1" a="1"/>
  <c r="T586" i="1" a="1"/>
  <c r="T587" i="1" a="1"/>
  <c r="T588" i="1" a="1"/>
  <c r="T589" i="1" a="1"/>
  <c r="T590" i="1" a="1"/>
  <c r="T591" i="1" a="1"/>
  <c r="T592" i="1" a="1"/>
  <c r="T593" i="1" a="1"/>
  <c r="T594" i="1" a="1"/>
  <c r="T595" i="1" a="1"/>
  <c r="T596" i="1" a="1"/>
  <c r="T597" i="1" a="1"/>
  <c r="T598" i="1" a="1"/>
  <c r="T599" i="1" a="1"/>
  <c r="T600" i="1" a="1"/>
  <c r="T601" i="1" a="1"/>
  <c r="T602" i="1" a="1"/>
  <c r="T603" i="1" a="1"/>
  <c r="T604" i="1" a="1"/>
  <c r="T605" i="1" a="1"/>
  <c r="T606" i="1" a="1"/>
  <c r="T607" i="1" a="1"/>
  <c r="T608" i="1" a="1"/>
  <c r="T609" i="1" a="1"/>
  <c r="T610" i="1" a="1"/>
  <c r="T611" i="1" a="1"/>
  <c r="T612" i="1" a="1"/>
  <c r="T613" i="1" a="1"/>
  <c r="T614" i="1" a="1"/>
  <c r="T615" i="1" a="1"/>
  <c r="T616" i="1" a="1"/>
  <c r="T617" i="1" a="1"/>
  <c r="T618" i="1" a="1"/>
  <c r="T619" i="1" a="1"/>
  <c r="T620" i="1" a="1"/>
  <c r="T621" i="1" a="1"/>
  <c r="T622" i="1" a="1"/>
  <c r="T623" i="1" a="1"/>
  <c r="T624" i="1" a="1"/>
  <c r="T625" i="1" a="1"/>
  <c r="T626" i="1" a="1"/>
  <c r="T627" i="1" a="1"/>
  <c r="T628" i="1" a="1"/>
  <c r="T629" i="1" a="1"/>
  <c r="T630" i="1" a="1"/>
  <c r="T631" i="1" a="1"/>
  <c r="T632" i="1" a="1"/>
  <c r="T633" i="1" a="1"/>
  <c r="T634" i="1" a="1"/>
  <c r="T635" i="1" a="1"/>
  <c r="T636" i="1" a="1"/>
  <c r="T637" i="1" a="1"/>
  <c r="T638" i="1" a="1"/>
  <c r="T639" i="1" a="1"/>
  <c r="T640" i="1" a="1"/>
  <c r="T641" i="1" a="1"/>
  <c r="T642" i="1" a="1"/>
  <c r="T643" i="1" a="1"/>
  <c r="T644" i="1" a="1"/>
  <c r="T645" i="1" a="1"/>
  <c r="T646" i="1" a="1"/>
  <c r="T647" i="1" a="1"/>
  <c r="T648" i="1" a="1"/>
  <c r="T649" i="1" a="1"/>
  <c r="T650" i="1" a="1"/>
  <c r="T651" i="1" a="1"/>
  <c r="T652" i="1" a="1"/>
  <c r="T653" i="1" a="1"/>
  <c r="T654" i="1" a="1"/>
  <c r="T655" i="1" a="1"/>
  <c r="T656" i="1" a="1"/>
  <c r="T657" i="1" a="1"/>
  <c r="T658" i="1" a="1"/>
  <c r="T659" i="1" a="1"/>
  <c r="T660" i="1" a="1"/>
  <c r="T661" i="1" a="1"/>
  <c r="T662" i="1" a="1"/>
  <c r="T663" i="1" a="1"/>
  <c r="T664" i="1" a="1"/>
  <c r="T665" i="1" a="1"/>
  <c r="T666" i="1" a="1"/>
  <c r="T667" i="1" a="1"/>
  <c r="T668" i="1" a="1"/>
  <c r="T669" i="1" a="1"/>
  <c r="T670" i="1" a="1"/>
  <c r="T671" i="1" a="1"/>
  <c r="T672" i="1" a="1"/>
  <c r="T673" i="1" a="1"/>
  <c r="T674" i="1" a="1"/>
  <c r="T675" i="1" a="1"/>
  <c r="T676" i="1" a="1"/>
  <c r="T677" i="1" a="1"/>
  <c r="T678" i="1" a="1"/>
  <c r="T679" i="1" a="1"/>
  <c r="T680" i="1" a="1"/>
  <c r="T681" i="1" a="1"/>
  <c r="T682" i="1" a="1"/>
  <c r="T683" i="1" a="1"/>
  <c r="T684" i="1" a="1"/>
  <c r="T685" i="1" a="1"/>
  <c r="T686" i="1" a="1"/>
  <c r="T687" i="1" a="1"/>
  <c r="T688" i="1" a="1"/>
  <c r="T689" i="1" a="1"/>
  <c r="T690" i="1" a="1"/>
  <c r="T691" i="1" a="1"/>
  <c r="T692" i="1" a="1"/>
  <c r="T693" i="1" a="1"/>
  <c r="T694" i="1" a="1"/>
  <c r="T695" i="1" a="1"/>
  <c r="T696" i="1" a="1"/>
  <c r="T697" i="1" a="1"/>
  <c r="T698" i="1" a="1"/>
  <c r="T699" i="1" a="1"/>
  <c r="T700" i="1" a="1"/>
  <c r="T701" i="1" a="1"/>
  <c r="T702" i="1" a="1"/>
  <c r="T703" i="1" a="1"/>
  <c r="T704" i="1" a="1"/>
  <c r="T705" i="1" a="1"/>
  <c r="T706" i="1" a="1"/>
  <c r="T707" i="1" a="1"/>
  <c r="T708" i="1" a="1"/>
  <c r="T709" i="1" a="1"/>
  <c r="T710" i="1" a="1"/>
  <c r="T711" i="1" a="1"/>
  <c r="T712" i="1" a="1"/>
  <c r="T713" i="1" a="1"/>
  <c r="T714" i="1" a="1"/>
  <c r="T715" i="1" a="1"/>
  <c r="T716" i="1" a="1"/>
  <c r="T717" i="1" a="1"/>
  <c r="T718" i="1" a="1"/>
  <c r="T719" i="1" a="1"/>
  <c r="T720" i="1" a="1"/>
  <c r="T721" i="1" a="1"/>
  <c r="T722" i="1" a="1"/>
  <c r="T723" i="1" a="1"/>
  <c r="T724" i="1" a="1"/>
  <c r="T725" i="1" a="1"/>
  <c r="T726" i="1" a="1"/>
  <c r="T727" i="1" a="1"/>
  <c r="T728" i="1" a="1"/>
  <c r="T729" i="1" a="1"/>
  <c r="T730" i="1" a="1"/>
  <c r="T731" i="1" a="1"/>
  <c r="T732" i="1" a="1"/>
  <c r="T733" i="1" a="1"/>
  <c r="T734" i="1" a="1"/>
  <c r="T735" i="1" a="1"/>
  <c r="T736" i="1" a="1"/>
  <c r="T737" i="1" a="1"/>
  <c r="T738" i="1" a="1"/>
  <c r="T739" i="1" a="1"/>
  <c r="T740" i="1" a="1"/>
  <c r="T741" i="1" a="1"/>
  <c r="T742" i="1" a="1"/>
  <c r="T743" i="1" a="1"/>
  <c r="T744" i="1" a="1"/>
  <c r="T745" i="1" a="1"/>
  <c r="T746" i="1" a="1"/>
  <c r="T747" i="1" a="1"/>
  <c r="T748" i="1" a="1"/>
  <c r="T749" i="1" a="1"/>
  <c r="T750" i="1" a="1"/>
  <c r="T751" i="1" a="1"/>
  <c r="T752" i="1" a="1"/>
  <c r="T753" i="1" a="1"/>
  <c r="T754" i="1" a="1"/>
  <c r="T755" i="1" a="1"/>
  <c r="T756" i="1" a="1"/>
  <c r="T757" i="1" a="1"/>
  <c r="T758" i="1" a="1"/>
  <c r="T759" i="1" a="1"/>
  <c r="T760" i="1" a="1"/>
  <c r="T761" i="1" a="1"/>
  <c r="T762" i="1" a="1"/>
  <c r="T763" i="1" a="1"/>
  <c r="T764" i="1" a="1"/>
  <c r="T765" i="1" a="1"/>
  <c r="T766" i="1" a="1"/>
  <c r="T767" i="1" a="1"/>
  <c r="T768" i="1" a="1"/>
  <c r="T769" i="1" a="1"/>
  <c r="T770" i="1" a="1"/>
  <c r="T771" i="1" a="1"/>
  <c r="T772" i="1" a="1"/>
  <c r="T773" i="1" a="1"/>
  <c r="T774" i="1" a="1"/>
  <c r="T775" i="1" a="1"/>
  <c r="T776" i="1" a="1"/>
  <c r="T777" i="1" a="1"/>
  <c r="T778" i="1" a="1"/>
  <c r="T779" i="1" a="1"/>
  <c r="T780" i="1" a="1"/>
  <c r="T781" i="1" a="1"/>
  <c r="T782" i="1" a="1"/>
  <c r="T783" i="1" a="1"/>
  <c r="T784" i="1" a="1"/>
  <c r="T785" i="1" a="1"/>
  <c r="T786" i="1" a="1"/>
  <c r="T787" i="1" a="1"/>
  <c r="T788" i="1" a="1"/>
  <c r="T789" i="1" a="1"/>
  <c r="T790" i="1" a="1"/>
  <c r="T791" i="1" a="1"/>
  <c r="T792" i="1" a="1"/>
  <c r="T793" i="1" a="1"/>
  <c r="T794" i="1" a="1"/>
  <c r="T795" i="1" a="1"/>
  <c r="T796" i="1" a="1"/>
  <c r="T797" i="1" a="1"/>
  <c r="T798" i="1" a="1"/>
  <c r="T799" i="1" a="1"/>
  <c r="T800" i="1" a="1"/>
  <c r="T801" i="1" a="1"/>
  <c r="T802" i="1" a="1"/>
  <c r="T803" i="1" a="1"/>
  <c r="T804" i="1" a="1"/>
  <c r="T805" i="1" a="1"/>
  <c r="T806" i="1" a="1"/>
  <c r="T807" i="1" a="1"/>
  <c r="T808" i="1" a="1"/>
  <c r="T809" i="1" a="1"/>
  <c r="T810" i="1" a="1"/>
  <c r="T811" i="1" a="1"/>
  <c r="T812" i="1" a="1"/>
  <c r="T813" i="1" a="1"/>
  <c r="T814" i="1" a="1"/>
  <c r="T815" i="1" a="1"/>
  <c r="T816" i="1" a="1"/>
  <c r="T817" i="1" a="1"/>
  <c r="T818" i="1" a="1"/>
  <c r="T819" i="1" a="1"/>
  <c r="T820" i="1" a="1"/>
  <c r="T821" i="1" a="1"/>
  <c r="T822" i="1" a="1"/>
  <c r="T823" i="1" a="1"/>
  <c r="T824" i="1" a="1"/>
  <c r="T825" i="1" a="1"/>
  <c r="T826" i="1" a="1"/>
  <c r="T827" i="1" a="1"/>
  <c r="T828" i="1" a="1"/>
  <c r="T829" i="1" a="1"/>
  <c r="T830" i="1" a="1"/>
  <c r="T831" i="1" a="1"/>
  <c r="T832" i="1" a="1"/>
  <c r="T833" i="1" a="1"/>
  <c r="T834" i="1" a="1"/>
  <c r="T835" i="1" a="1"/>
  <c r="T836" i="1" a="1"/>
  <c r="T837" i="1" a="1"/>
  <c r="T838" i="1" a="1"/>
  <c r="T839" i="1" a="1"/>
  <c r="T840" i="1" a="1"/>
  <c r="T841" i="1" a="1"/>
  <c r="T842" i="1" a="1"/>
  <c r="T843" i="1" a="1"/>
  <c r="T844" i="1" a="1"/>
  <c r="T845" i="1" a="1"/>
  <c r="T846" i="1" a="1"/>
  <c r="T847" i="1" a="1"/>
  <c r="T848" i="1" a="1"/>
  <c r="T849" i="1" a="1"/>
  <c r="T850" i="1" a="1"/>
  <c r="T851" i="1" a="1"/>
  <c r="T852" i="1" a="1"/>
  <c r="T853" i="1" a="1"/>
  <c r="T854" i="1" a="1"/>
  <c r="T855" i="1" a="1"/>
  <c r="T856" i="1" a="1"/>
  <c r="T857" i="1" a="1"/>
  <c r="T858" i="1" a="1"/>
  <c r="T859" i="1" a="1"/>
  <c r="T860" i="1" a="1"/>
  <c r="T861" i="1" a="1"/>
  <c r="T862" i="1" a="1"/>
  <c r="T863" i="1" a="1"/>
  <c r="T864" i="1" a="1"/>
  <c r="T865" i="1" a="1"/>
  <c r="T866" i="1" a="1"/>
  <c r="T867" i="1" a="1"/>
  <c r="T868" i="1" a="1"/>
  <c r="T869" i="1" a="1"/>
  <c r="T870" i="1" a="1"/>
  <c r="T871" i="1" a="1"/>
  <c r="T872" i="1" a="1"/>
  <c r="T873" i="1" a="1"/>
  <c r="T874" i="1" a="1"/>
  <c r="T875" i="1" a="1"/>
  <c r="T876" i="1" a="1"/>
  <c r="T877" i="1" a="1"/>
  <c r="T878" i="1" a="1"/>
  <c r="T879" i="1" a="1"/>
  <c r="T880" i="1" a="1"/>
  <c r="T881" i="1" a="1"/>
  <c r="T882" i="1" a="1"/>
  <c r="T883" i="1" a="1"/>
  <c r="T884" i="1" a="1"/>
  <c r="T885" i="1" a="1"/>
  <c r="T886" i="1" a="1"/>
  <c r="T887" i="1" a="1"/>
  <c r="T888" i="1" a="1"/>
  <c r="T889" i="1" a="1"/>
  <c r="T890" i="1" a="1"/>
  <c r="T891" i="1" a="1"/>
  <c r="T892" i="1" a="1"/>
  <c r="T893" i="1" a="1"/>
  <c r="T894" i="1" a="1"/>
  <c r="T895" i="1" a="1"/>
  <c r="T896" i="1" a="1"/>
  <c r="T897" i="1" a="1"/>
  <c r="T898" i="1" a="1"/>
  <c r="T899" i="1" a="1"/>
  <c r="T900" i="1" a="1"/>
  <c r="T901" i="1" a="1"/>
  <c r="T902" i="1" a="1"/>
  <c r="T903" i="1" a="1"/>
  <c r="T904" i="1" a="1"/>
  <c r="T905" i="1" a="1"/>
  <c r="T906" i="1" a="1"/>
  <c r="T907" i="1" a="1"/>
  <c r="T908" i="1" a="1"/>
  <c r="T909" i="1" a="1"/>
  <c r="T910" i="1" a="1"/>
  <c r="T911" i="1" a="1"/>
  <c r="T912" i="1" a="1"/>
  <c r="T913" i="1" a="1"/>
  <c r="T914" i="1" a="1"/>
  <c r="T915" i="1" a="1"/>
  <c r="T916" i="1" a="1"/>
  <c r="T917" i="1" a="1"/>
  <c r="T918" i="1" a="1"/>
  <c r="T919" i="1" a="1"/>
  <c r="T920" i="1" a="1"/>
  <c r="T921" i="1" a="1"/>
  <c r="T922" i="1" a="1"/>
  <c r="T923" i="1" a="1"/>
  <c r="T924" i="1" a="1"/>
  <c r="T925" i="1" a="1"/>
  <c r="T926" i="1" a="1"/>
  <c r="T927" i="1" a="1"/>
  <c r="T928" i="1" a="1"/>
  <c r="T929" i="1" a="1"/>
  <c r="T930" i="1" a="1"/>
  <c r="T931" i="1" a="1"/>
  <c r="T932" i="1" a="1"/>
  <c r="T933" i="1" a="1"/>
  <c r="T934" i="1" a="1"/>
  <c r="T935" i="1" a="1"/>
  <c r="T936" i="1" a="1"/>
  <c r="T937" i="1" a="1"/>
  <c r="T938" i="1" a="1"/>
  <c r="T939" i="1" a="1"/>
  <c r="T940" i="1" a="1"/>
  <c r="T941" i="1" a="1"/>
  <c r="T942" i="1" a="1"/>
  <c r="T943" i="1" a="1"/>
  <c r="T944" i="1" a="1"/>
  <c r="T945" i="1" a="1"/>
  <c r="T946" i="1" a="1"/>
  <c r="T947" i="1" a="1"/>
  <c r="T948" i="1" a="1"/>
  <c r="T949" i="1" a="1"/>
  <c r="T950" i="1" a="1"/>
  <c r="T951" i="1" a="1"/>
  <c r="T952" i="1" a="1"/>
  <c r="T953" i="1" a="1"/>
  <c r="T954" i="1" a="1"/>
  <c r="T955" i="1" a="1"/>
  <c r="T956" i="1" a="1"/>
  <c r="T957" i="1" a="1"/>
  <c r="T958" i="1" a="1"/>
  <c r="T959" i="1" a="1"/>
  <c r="T960" i="1" a="1"/>
  <c r="T961" i="1" a="1"/>
  <c r="T962" i="1" a="1"/>
  <c r="T963" i="1" a="1"/>
  <c r="T964" i="1" a="1"/>
  <c r="T965" i="1" a="1"/>
  <c r="T966" i="1" a="1"/>
  <c r="T967" i="1" a="1"/>
  <c r="T968" i="1" a="1"/>
  <c r="T969" i="1" a="1"/>
  <c r="T970" i="1" a="1"/>
  <c r="T971" i="1" a="1"/>
  <c r="T972" i="1" a="1"/>
  <c r="T973" i="1" a="1"/>
  <c r="T974" i="1" a="1"/>
  <c r="T975" i="1" a="1"/>
  <c r="T976" i="1" a="1"/>
  <c r="T977" i="1" a="1"/>
  <c r="T978" i="1" a="1"/>
  <c r="T979" i="1" a="1"/>
  <c r="T980" i="1" a="1"/>
  <c r="T981" i="1" a="1"/>
  <c r="T982" i="1" a="1"/>
  <c r="T983" i="1" a="1"/>
  <c r="T984" i="1" a="1"/>
  <c r="T985" i="1" a="1"/>
  <c r="T986" i="1" a="1"/>
  <c r="T987" i="1" a="1"/>
  <c r="T988" i="1" a="1"/>
  <c r="T989" i="1" a="1"/>
  <c r="T990" i="1" a="1"/>
  <c r="T991" i="1" a="1"/>
  <c r="T992" i="1" a="1"/>
  <c r="T993" i="1" a="1"/>
  <c r="T994" i="1" a="1"/>
  <c r="T995" i="1" a="1"/>
  <c r="T996" i="1" a="1"/>
  <c r="T997" i="1" a="1"/>
  <c r="T998" i="1" a="1"/>
  <c r="T999" i="1" a="1"/>
  <c r="T1000" i="1" a="1"/>
  <c r="T1001" i="1" a="1"/>
  <c r="T1002" i="1" a="1"/>
  <c r="T1003" i="1" a="1"/>
  <c r="T1004" i="1" a="1"/>
  <c r="T1005" i="1" a="1"/>
  <c r="T1006" i="1" a="1"/>
  <c r="T1007" i="1" a="1"/>
  <c r="T1008" i="1" a="1"/>
  <c r="T1009" i="1" a="1"/>
  <c r="T1010" i="1" a="1"/>
  <c r="T1011" i="1" a="1"/>
  <c r="T1012" i="1" a="1"/>
  <c r="T1013" i="1" a="1"/>
  <c r="T1014" i="1" a="1"/>
  <c r="T1015" i="1" a="1"/>
  <c r="T1016" i="1" a="1"/>
  <c r="T1017" i="1" a="1"/>
  <c r="T1018" i="1" a="1"/>
  <c r="T1019" i="1" a="1"/>
  <c r="T1020" i="1" a="1"/>
  <c r="T1021" i="1" a="1"/>
  <c r="T1022" i="1" a="1"/>
  <c r="T1023" i="1" a="1"/>
  <c r="T1024" i="1" a="1"/>
  <c r="T1025" i="1" a="1"/>
  <c r="T1026" i="1" a="1"/>
  <c r="T1027" i="1" a="1"/>
  <c r="T1028" i="1" a="1"/>
  <c r="T3" i="1" a="1"/>
  <c r="T2" i="1" a="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<sst xmlns="http://schemas.openxmlformats.org/spreadsheetml/2006/main" count="118" uniqueCount="77">
  <si>
    <t>age</t>
  </si>
  <si>
    <t>sex</t>
  </si>
  <si>
    <t>cp</t>
  </si>
  <si>
    <t>trestbps</t>
  </si>
  <si>
    <t>chol</t>
  </si>
  <si>
    <t>fbs</t>
  </si>
  <si>
    <t>restecg</t>
  </si>
  <si>
    <t>thalach</t>
  </si>
  <si>
    <t>exang</t>
  </si>
  <si>
    <t>oldpeak</t>
  </si>
  <si>
    <t>slope</t>
  </si>
  <si>
    <t>ca</t>
  </si>
  <si>
    <t>thal</t>
  </si>
  <si>
    <t>target</t>
  </si>
  <si>
    <t>SEX CODE</t>
  </si>
  <si>
    <t>Female</t>
  </si>
  <si>
    <t>Mail</t>
  </si>
  <si>
    <t>TARGET CODE</t>
  </si>
  <si>
    <t>DISEASE STATUS</t>
  </si>
  <si>
    <t>No Disease</t>
  </si>
  <si>
    <t>Heart Disease</t>
  </si>
  <si>
    <t>CHEST PAIN CODE</t>
  </si>
  <si>
    <t>CHEST PAIN TYPE</t>
  </si>
  <si>
    <t>Typical Angina</t>
  </si>
  <si>
    <t>Atypical Angina</t>
  </si>
  <si>
    <t>Non-Anginal Pain</t>
  </si>
  <si>
    <t>Asymptomatic</t>
  </si>
  <si>
    <t>Gender</t>
  </si>
  <si>
    <t>Disease_Status</t>
  </si>
  <si>
    <t>Chest_Pain_Type</t>
  </si>
  <si>
    <t>Fasting Blood Sugar</t>
  </si>
  <si>
    <t>Exercise_Angina</t>
  </si>
  <si>
    <t>Age_Group</t>
  </si>
  <si>
    <t>BP_Category</t>
  </si>
  <si>
    <t>EXERCISE ANGINA CODE</t>
  </si>
  <si>
    <t>EXERCISE ANGINA</t>
  </si>
  <si>
    <t>FASTING BLOOD SUGAR</t>
  </si>
  <si>
    <t>FBS STATUS</t>
  </si>
  <si>
    <t>O</t>
  </si>
  <si>
    <t>Normal</t>
  </si>
  <si>
    <t>High</t>
  </si>
  <si>
    <t>REST ECG CODE</t>
  </si>
  <si>
    <t>ECG RESULT</t>
  </si>
  <si>
    <t>ST-T Wave Abnormality</t>
  </si>
  <si>
    <t>Left Ventricular Hypertrophy</t>
  </si>
  <si>
    <t>No</t>
  </si>
  <si>
    <t>Yes</t>
  </si>
  <si>
    <t>Row Labels</t>
  </si>
  <si>
    <t>Grand Total</t>
  </si>
  <si>
    <t>Count of Disease_Status</t>
  </si>
  <si>
    <t>PT_Disease_Distribution</t>
  </si>
  <si>
    <t>Male</t>
  </si>
  <si>
    <t>Count of Gender</t>
  </si>
  <si>
    <t>PT_Gender_Analysis</t>
  </si>
  <si>
    <t>18-29</t>
  </si>
  <si>
    <t>30-39</t>
  </si>
  <si>
    <t>40-49</t>
  </si>
  <si>
    <t>50-59</t>
  </si>
  <si>
    <t>60+</t>
  </si>
  <si>
    <t>Count of Age_Group</t>
  </si>
  <si>
    <t>PT_Age_Group</t>
  </si>
  <si>
    <t>Count of Chest_Pain_Type</t>
  </si>
  <si>
    <t>PT_Chest_Pain</t>
  </si>
  <si>
    <t>BP Category Analysis</t>
  </si>
  <si>
    <t>Elevated</t>
  </si>
  <si>
    <t>High (Stage 1)</t>
  </si>
  <si>
    <t>High (Stage 2)</t>
  </si>
  <si>
    <t>Count of BP_Category</t>
  </si>
  <si>
    <t>PT_BP_Category</t>
  </si>
  <si>
    <t>Count of Exercise_Angina</t>
  </si>
  <si>
    <t>PT_Exercise_Angina</t>
  </si>
  <si>
    <t>Column Labels</t>
  </si>
  <si>
    <t>PT_Heart_Disease_by_Gender</t>
  </si>
  <si>
    <t>PT_BP_Category_vs_Disease</t>
  </si>
  <si>
    <t xml:space="preserve"> </t>
  </si>
  <si>
    <t xml:space="preserve">   </t>
  </si>
  <si>
    <t>❤️HEART DISEASE ANALYSIS DASHABOARD❤️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</si>
</sst>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4" tint="-0.499984740745262"/>
      <name val="Calibri"/>
      <family val="2"/>
      <scheme val="minor"/>
    </font>
    <font>
      <b/>
      <sz val="14"/>
      <color theme="4" tint="-0.499984740745262"/>
      <name val="Calibri"/>
      <family val="2"/>
      <scheme val="minor"/>
    </font>
    <font>
      <b/>
      <sz val="14"/>
      <color theme="1"/>
      <name val="Calibri"/>
      <family val="2"/>
      <scheme val="minor"/>
    </font>
    <font>
      <b/>
      <sz val="14"/>
      <color theme="3" tint="-0.499984740745262"/>
      <name val="Calibri"/>
      <family val="2"/>
      <scheme val="minor"/>
    </font>
    <font>
      <b/>
      <sz val="16"/>
      <color theme="3" tint="-0.499984740745262"/>
      <name val="Calibri"/>
      <family val="2"/>
      <scheme val="minor"/>
    </font>
    <font>
      <sz val="16"/>
      <color rgb="FF7030A0"/>
      <name val="Calibri"/>
      <family val="2"/>
      <scheme val="minor"/>
    </font>
    <font>
      <b/>
      <sz val="11"/>
      <color rgb="FF7030A0"/>
      <name val="Calibri"/>
      <family val="2"/>
      <scheme val="minor"/>
    </font>
    <font>
      <b/>
      <sz val="16"/>
      <color rgb="FF385723"/>
      <name val="+mn-ea"/>
    </font>
    <font>
      <b/>
      <sz val="24"/>
      <color theme="9" tint="-0.499984740745262"/>
      <name val="Engravers MT"/>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rgb="FF92D050"/>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10" xfId="0" applyBorder="1"/>
    <xf numFmtId="0" fontId="18" fillId="33" borderId="10" xfId="0" applyFont="1" applyFill="1" applyBorder="1"/>
    <xf numFmtId="0" fontId="0" fillId="0" borderId="0" xfId="0" pivotButton="1"/>
    <xf numFmtId="0" fontId="0" fillId="0" borderId="0" xfId="0" applyAlignment="1">
      <alignment horizontal="left"/>
    </xf>
    <xf numFmtId="0" fontId="23" fillId="0" borderId="0" xfId="0" applyFont="1"/>
    <xf numFmtId="0" fontId="24" fillId="0" borderId="0" xfId="0" applyFont="1"/>
    <xf numFmtId="0" fontId="25" fillId="0" borderId="0" xfId="0" applyFont="1"/>
    <xf numFmtId="0" fontId="26" fillId="35" borderId="0" xfId="0" applyFont="1" applyFill="1" applyAlignment="1">
      <alignment horizontal="center"/>
    </xf>
    <xf numFmtId="0" fontId="20" fillId="33" borderId="0" xfId="0" applyFont="1" applyFill="1" applyAlignment="1">
      <alignment horizontal="center"/>
    </xf>
    <xf numFmtId="0" fontId="22" fillId="34" borderId="0" xfId="0" applyFont="1" applyFill="1" applyAlignment="1">
      <alignment horizontal="center"/>
    </xf>
    <xf numFmtId="0" fontId="19" fillId="33" borderId="0" xfId="0" applyFont="1" applyFill="1" applyAlignment="1">
      <alignment horizontal="center"/>
    </xf>
    <xf numFmtId="0" fontId="21"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[heart.xlsx]PIVOT!PivotTable9</c:name>
    <c:fmtId val="16"/>
  </c:pivotSource>
  <c:chart>
    <c:title>
      <c:tx>
        <c:rich>
          <a:bodyPr rot="0" spcFirstLastPara="1" vertOverflow="ellipsis" vert="horz" wrap="square" anchor="ctr" anchorCtr="1"/>
          <a:lstStyle/>
          <a:p>
            <a:pPr>
              <a:defRPr sz="1800" b="1" i="0" u="none" strike="noStrike" kern="1200" baseline="0">
                <a:solidFill>
                  <a:schemeClr val="accent2"/>
                </a:solidFill>
                <a:latin typeface="Engravers MT" panose="02090707080505020304" pitchFamily="18" charset="0"/>
                <a:ea typeface="+mn-ea"/>
                <a:cs typeface="+mn-cs"/>
              </a:defRPr>
            </a:pPr>
            <a:r>
              <a:rPr lang="en-US" sz="1800" b="1" i="0" u="none" strike="noStrike" kern="1200" baseline="0">
                <a:solidFill>
                  <a:schemeClr val="accent6">
                    <a:lumMod val="50000"/>
                  </a:schemeClr>
                </a:solidFill>
                <a:effectLst/>
                <a:latin typeface="Engravers MT" panose="02090707080505020304" pitchFamily="18" charset="0"/>
              </a:rPr>
              <a:t>❤️</a:t>
            </a:r>
            <a:r>
              <a:rPr lang="en-US">
                <a:solidFill>
                  <a:schemeClr val="accent6">
                    <a:lumMod val="50000"/>
                  </a:schemeClr>
                </a:solidFill>
                <a:latin typeface="Engravers MT" panose="02090707080505020304" pitchFamily="18" charset="0"/>
              </a:rPr>
              <a:t>Heart Disease</a:t>
            </a:r>
          </a:p>
        </c:rich>
      </c:tx>
      <c:layout>
        <c:manualLayout>
          <c:xMode val="edge"/>
          <c:yMode val="edge"/>
          <c:x val="0.2073455056323382"/>
          <c:y val="3.9336921975679871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2"/>
              </a:solidFill>
              <a:latin typeface="Engravers MT" panose="02090707080505020304" pitchFamily="18" charset="0"/>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1"/>
          <c:showVal val="1"/>
          <c:showCatName val="1"/>
          <c:showSerName val="1"/>
          <c:showPercent val="1"/>
          <c:showBubbleSize val="1"/>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a:outerShdw blurRad="254000" sx="102000" sy="102000" algn="ctr" rotWithShape="0">
              <a:prstClr val="black">
                <a:alpha val="20000"/>
              </a:prstClr>
            </a:outerShdw>
          </a:effectLst>
        </c:spPr>
      </c:pivotFmt>
      <c:pivotFmt>
        <c:idx val="14"/>
        <c:spPr>
          <a:solidFill>
            <a:schemeClr val="accent6"/>
          </a:solidFill>
          <a:ln>
            <a:noFill/>
          </a:ln>
          <a:effectLst>
            <a:outerShdw blurRad="254000" sx="102000" sy="102000" algn="ctr" rotWithShape="0">
              <a:prstClr val="black">
                <a:alpha val="20000"/>
              </a:prstClr>
            </a:outerShdw>
          </a:effectLst>
        </c:spPr>
      </c:pivotFmt>
      <c:pivotFmt>
        <c:idx val="15"/>
        <c:spPr>
          <a:solidFill>
            <a:schemeClr val="accent6"/>
          </a:solidFill>
          <a:ln>
            <a:noFill/>
          </a:ln>
          <a:effectLst>
            <a:outerShdw blurRad="254000" sx="102000" sy="102000" algn="ctr" rotWithShape="0">
              <a:prstClr val="black">
                <a:alpha val="20000"/>
              </a:prstClr>
            </a:outerShdw>
          </a:effectLst>
        </c:spPr>
      </c:pivotFmt>
      <c:pivotFmt>
        <c:idx val="16"/>
        <c:spPr>
          <a:solidFill>
            <a:schemeClr val="accent6"/>
          </a:solidFill>
          <a:ln>
            <a:noFill/>
          </a:ln>
          <a:effectLst>
            <a:outerShdw blurRad="254000" sx="102000" sy="102000" algn="ctr" rotWithShape="0">
              <a:prstClr val="black">
                <a:alpha val="20000"/>
              </a:prstClr>
            </a:outerShdw>
          </a:effectLst>
        </c:spPr>
      </c:pivotFmt>
      <c:pivotFmt>
        <c:idx val="1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6"/>
          </a:solidFill>
          <a:ln>
            <a:noFill/>
          </a:ln>
          <a:effectLst>
            <a:outerShdw blurRad="254000" sx="102000" sy="102000" algn="ctr" rotWithShape="0">
              <a:prstClr val="black">
                <a:alpha val="20000"/>
              </a:prstClr>
            </a:outerShdw>
          </a:effectLst>
        </c:spPr>
      </c:pivotFmt>
      <c:pivotFmt>
        <c:idx val="19"/>
        <c:spPr>
          <a:solidFill>
            <a:schemeClr val="accent6"/>
          </a:solidFill>
          <a:ln>
            <a:noFill/>
          </a:ln>
          <a:effectLst>
            <a:outerShdw blurRad="254000" sx="102000" sy="102000" algn="ctr" rotWithShape="0">
              <a:prstClr val="black">
                <a:alpha val="20000"/>
              </a:prstClr>
            </a:outerShdw>
          </a:effectLst>
        </c:spPr>
      </c:pivotFmt>
      <c:pivotFmt>
        <c:idx val="20"/>
        <c:spPr>
          <a:solidFill>
            <a:schemeClr val="accent6"/>
          </a:solidFill>
          <a:ln>
            <a:noFill/>
          </a:ln>
          <a:effectLst>
            <a:outerShdw blurRad="254000" sx="102000" sy="102000" algn="ctr" rotWithShape="0">
              <a:prstClr val="black">
                <a:alpha val="20000"/>
              </a:prstClr>
            </a:outerShdw>
          </a:effectLst>
        </c:spPr>
      </c:pivotFmt>
      <c:pivotFmt>
        <c:idx val="21"/>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PIVOT!$B$27:$B$28</c:f>
              <c:strCache>
                <c:ptCount val="1"/>
                <c:pt idx="0">
                  <c:v>Heart Disease</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93D-473A-BF03-A39EFCC4AF63}"/>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93D-473A-BF03-A39EFCC4AF63}"/>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93D-473A-BF03-A39EFCC4AF63}"/>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93D-473A-BF03-A39EFCC4AF6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PIVOT!$A$29:$A$33</c:f>
              <c:strCache>
                <c:ptCount val="4"/>
                <c:pt idx="0">
                  <c:v>Elevated</c:v>
                </c:pt>
                <c:pt idx="1">
                  <c:v>High (Stage 1)</c:v>
                </c:pt>
                <c:pt idx="2">
                  <c:v>High (Stage 2)</c:v>
                </c:pt>
                <c:pt idx="3">
                  <c:v>Normal</c:v>
                </c:pt>
              </c:strCache>
            </c:strRef>
          </c:cat>
          <c:val>
            <c:numRef>
              <c:f>PIVOT!$B$29:$B$33</c:f>
              <c:numCache>
                <c:formatCode>General</c:formatCode>
                <c:ptCount val="4"/>
                <c:pt idx="0">
                  <c:v>128</c:v>
                </c:pt>
                <c:pt idx="1">
                  <c:v>144</c:v>
                </c:pt>
                <c:pt idx="2">
                  <c:v>137</c:v>
                </c:pt>
                <c:pt idx="3">
                  <c:v>117</c:v>
                </c:pt>
              </c:numCache>
            </c:numRef>
          </c:val>
          <c:extLst>
            <c:ext xmlns:c16="http://schemas.microsoft.com/office/drawing/2014/chart" uri="{C3380CC4-5D6E-409C-BE32-E72D297353CC}">
              <c16:uniqueId val="{00000008-293D-473A-BF03-A39EFCC4AF63}"/>
            </c:ext>
          </c:extLst>
        </c:ser>
        <c:ser>
          <c:idx val="1"/>
          <c:order val="1"/>
          <c:tx>
            <c:strRef>
              <c:f>PIVOT!$C$27:$C$28</c:f>
              <c:strCache>
                <c:ptCount val="1"/>
                <c:pt idx="0">
                  <c:v>No Disease</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F81-4526-B03A-B145A64BF323}"/>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F81-4526-B03A-B145A64BF323}"/>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F81-4526-B03A-B145A64BF323}"/>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F81-4526-B03A-B145A64BF32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PIVOT!$A$29:$A$33</c:f>
              <c:strCache>
                <c:ptCount val="4"/>
                <c:pt idx="0">
                  <c:v>Elevated</c:v>
                </c:pt>
                <c:pt idx="1">
                  <c:v>High (Stage 1)</c:v>
                </c:pt>
                <c:pt idx="2">
                  <c:v>High (Stage 2)</c:v>
                </c:pt>
                <c:pt idx="3">
                  <c:v>Normal</c:v>
                </c:pt>
              </c:strCache>
            </c:strRef>
          </c:cat>
          <c:val>
            <c:numRef>
              <c:f>PIVOT!$C$29:$C$33</c:f>
              <c:numCache>
                <c:formatCode>General</c:formatCode>
                <c:ptCount val="4"/>
                <c:pt idx="0">
                  <c:v>128</c:v>
                </c:pt>
                <c:pt idx="1">
                  <c:v>100</c:v>
                </c:pt>
                <c:pt idx="2">
                  <c:v>187</c:v>
                </c:pt>
                <c:pt idx="3">
                  <c:v>86</c:v>
                </c:pt>
              </c:numCache>
            </c:numRef>
          </c:val>
          <c:extLst>
            <c:ext xmlns:c16="http://schemas.microsoft.com/office/drawing/2014/chart" uri="{C3380CC4-5D6E-409C-BE32-E72D297353CC}">
              <c16:uniqueId val="{00000011-CF29-43E5-9559-286BE18A706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63500">
        <a:schemeClr val="accent6">
          <a:satMod val="175000"/>
          <a:alpha val="40000"/>
        </a:schemeClr>
      </a:glow>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[heart.xlsx]PIVOT!PivotTable2</c:name>
    <c:fmtId val="4"/>
  </c:pivotSource>
  <c:chart>
    <c:title>
      <c:tx>
        <c:rich>
          <a:bodyPr rot="0" spcFirstLastPara="1" vertOverflow="ellipsis" vert="horz" wrap="square" anchor="ctr" anchorCtr="1"/>
          <a:lstStyle/>
          <a:p>
            <a:pPr>
              <a:defRPr sz="1800" b="1" i="0" u="none" strike="noStrike" kern="1200" baseline="0">
                <a:solidFill>
                  <a:schemeClr val="accent6"/>
                </a:solidFill>
                <a:latin typeface="+mn-lt"/>
                <a:ea typeface="+mn-ea"/>
                <a:cs typeface="+mn-cs"/>
              </a:defRPr>
            </a:pPr>
            <a:r>
              <a:rPr lang="en-US" sz="1800" b="1" i="0" u="none" strike="noStrike" baseline="0"/>
              <a:t>🚻</a:t>
            </a:r>
            <a:r>
              <a:rPr lang="en-US">
                <a:solidFill>
                  <a:schemeClr val="accent6">
                    <a:lumMod val="50000"/>
                  </a:schemeClr>
                </a:solidFill>
                <a:latin typeface="Engravers MT" panose="02090707080505020304" pitchFamily="18" charset="0"/>
              </a:rPr>
              <a:t>Gender Distribution</a:t>
            </a:r>
          </a:p>
        </c:rich>
      </c:tx>
      <c:layout>
        <c:manualLayout>
          <c:xMode val="edge"/>
          <c:yMode val="edge"/>
          <c:x val="0.26712342676744105"/>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6"/>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6"/>
                </a:solidFill>
              </a:ln>
              <a:effectLst/>
            </c:spPr>
            <c:trendlineType val="linear"/>
            <c:dispRSqr val="0"/>
            <c:dispEq val="0"/>
          </c:trendline>
          <c:cat>
            <c:strRef>
              <c:f>PIVOT!$A$10:$A$12</c:f>
              <c:strCache>
                <c:ptCount val="2"/>
                <c:pt idx="0">
                  <c:v>Female</c:v>
                </c:pt>
                <c:pt idx="1">
                  <c:v>Male</c:v>
                </c:pt>
              </c:strCache>
            </c:strRef>
          </c:cat>
          <c:val>
            <c:numRef>
              <c:f>PIVOT!$B$10:$B$12</c:f>
              <c:numCache>
                <c:formatCode>General</c:formatCode>
                <c:ptCount val="2"/>
                <c:pt idx="0">
                  <c:v>314</c:v>
                </c:pt>
                <c:pt idx="1">
                  <c:v>713</c:v>
                </c:pt>
              </c:numCache>
            </c:numRef>
          </c:val>
          <c:extLst>
            <c:ext xmlns:c16="http://schemas.microsoft.com/office/drawing/2014/chart" uri="{C3380CC4-5D6E-409C-BE32-E72D297353CC}">
              <c16:uniqueId val="{00000001-8BE2-43D6-A9A1-8BDC2C1E4541}"/>
            </c:ext>
          </c:extLst>
        </c:ser>
        <c:dLbls>
          <c:dLblPos val="inEnd"/>
          <c:showLegendKey val="0"/>
          <c:showVal val="1"/>
          <c:showCatName val="0"/>
          <c:showSerName val="0"/>
          <c:showPercent val="0"/>
          <c:showBubbleSize val="0"/>
        </c:dLbls>
        <c:gapWidth val="65"/>
        <c:axId val="1144443168"/>
        <c:axId val="1144444128"/>
      </c:barChart>
      <c:catAx>
        <c:axId val="11444431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4444128"/>
        <c:crosses val="autoZero"/>
        <c:auto val="1"/>
        <c:lblAlgn val="ctr"/>
        <c:lblOffset val="100"/>
        <c:noMultiLvlLbl val="0"/>
      </c:catAx>
      <c:valAx>
        <c:axId val="1144444128"/>
        <c:scaling>
          <c:orientation val="minMax"/>
        </c:scaling>
        <c:delete val="1"/>
        <c:axPos val="l"/>
        <c:numFmt formatCode="General" sourceLinked="1"/>
        <c:majorTickMark val="none"/>
        <c:minorTickMark val="none"/>
        <c:tickLblPos val="nextTo"/>
        <c:crossAx val="11444431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63500">
        <a:schemeClr val="accent6">
          <a:satMod val="175000"/>
          <a:alpha val="40000"/>
        </a:schemeClr>
      </a:glo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[heart.xlsx]PIVOT!PivotTable4</c:name>
    <c:fmtId val="5"/>
  </c:pivotSource>
  <c:chart>
    <c:title>
      <c:tx>
        <c:rich>
          <a:bodyPr rot="0" spcFirstLastPara="1" vertOverflow="ellipsis" vert="horz" wrap="square" anchor="ctr" anchorCtr="1"/>
          <a:lstStyle/>
          <a:p>
            <a:pPr>
              <a:defRPr sz="1800" b="1" i="0" u="none" strike="noStrike" kern="1200" baseline="0">
                <a:solidFill>
                  <a:schemeClr val="accent6">
                    <a:lumMod val="50000"/>
                  </a:schemeClr>
                </a:solidFill>
                <a:latin typeface="Engravers MT" panose="02090707080505020304" pitchFamily="18" charset="0"/>
                <a:ea typeface="+mn-ea"/>
                <a:cs typeface="+mn-cs"/>
              </a:defRPr>
            </a:pPr>
            <a:r>
              <a:rPr lang="en-US" sz="1800" b="1" i="0" u="none" strike="noStrike" baseline="0"/>
              <a:t>👤</a:t>
            </a:r>
            <a:r>
              <a:rPr lang="en-US">
                <a:solidFill>
                  <a:schemeClr val="accent6">
                    <a:lumMod val="50000"/>
                  </a:schemeClr>
                </a:solidFill>
                <a:latin typeface="Engravers MT" panose="02090707080505020304" pitchFamily="18" charset="0"/>
              </a:rPr>
              <a:t>Age Group Distribution</a:t>
            </a:r>
          </a:p>
        </c:rich>
      </c:tx>
      <c:layout>
        <c:manualLayout>
          <c:xMode val="edge"/>
          <c:yMode val="edge"/>
          <c:x val="0.31602029326071857"/>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6">
                  <a:lumMod val="50000"/>
                </a:schemeClr>
              </a:solidFill>
              <a:latin typeface="Engravers MT" panose="02090707080505020304" pitchFamily="18"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23381452318459"/>
          <c:y val="0.16741270172150821"/>
          <c:w val="0.54280314960629916"/>
          <c:h val="0.77178076311047916"/>
        </c:manualLayout>
      </c:layout>
      <c:barChart>
        <c:barDir val="bar"/>
        <c:grouping val="clustered"/>
        <c:varyColors val="0"/>
        <c:ser>
          <c:idx val="0"/>
          <c:order val="0"/>
          <c:tx>
            <c:strRef>
              <c:f>PIVOT!$E$2</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PIVOT!$D$3:$D$8</c:f>
              <c:strCache>
                <c:ptCount val="5"/>
                <c:pt idx="0">
                  <c:v>18-29</c:v>
                </c:pt>
                <c:pt idx="1">
                  <c:v>30-39</c:v>
                </c:pt>
                <c:pt idx="2">
                  <c:v>40-49</c:v>
                </c:pt>
                <c:pt idx="3">
                  <c:v>50-59</c:v>
                </c:pt>
                <c:pt idx="4">
                  <c:v>60+</c:v>
                </c:pt>
              </c:strCache>
            </c:strRef>
          </c:cat>
          <c:val>
            <c:numRef>
              <c:f>PIVOT!$E$3:$E$8</c:f>
              <c:numCache>
                <c:formatCode>General</c:formatCode>
                <c:ptCount val="5"/>
                <c:pt idx="0">
                  <c:v>5</c:v>
                </c:pt>
                <c:pt idx="1">
                  <c:v>53</c:v>
                </c:pt>
                <c:pt idx="2">
                  <c:v>237</c:v>
                </c:pt>
                <c:pt idx="3">
                  <c:v>423</c:v>
                </c:pt>
                <c:pt idx="4">
                  <c:v>309</c:v>
                </c:pt>
              </c:numCache>
            </c:numRef>
          </c:val>
          <c:extLst>
            <c:ext xmlns:c16="http://schemas.microsoft.com/office/drawing/2014/chart" uri="{C3380CC4-5D6E-409C-BE32-E72D297353CC}">
              <c16:uniqueId val="{00000000-7623-410A-906F-FAB1980F0A7A}"/>
            </c:ext>
          </c:extLst>
        </c:ser>
        <c:dLbls>
          <c:dLblPos val="inEnd"/>
          <c:showLegendKey val="0"/>
          <c:showVal val="1"/>
          <c:showCatName val="0"/>
          <c:showSerName val="0"/>
          <c:showPercent val="0"/>
          <c:showBubbleSize val="0"/>
        </c:dLbls>
        <c:gapWidth val="65"/>
        <c:axId val="1264403263"/>
        <c:axId val="1264399423"/>
      </c:barChart>
      <c:catAx>
        <c:axId val="12644032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4399423"/>
        <c:crosses val="autoZero"/>
        <c:auto val="1"/>
        <c:lblAlgn val="ctr"/>
        <c:lblOffset val="100"/>
        <c:noMultiLvlLbl val="0"/>
      </c:catAx>
      <c:valAx>
        <c:axId val="1264399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440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63500">
        <a:schemeClr val="accent6">
          <a:satMod val="175000"/>
          <a:alpha val="40000"/>
        </a:schemeClr>
      </a:glo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[heart.xlsx]PIVOT!PivotTable5</c:name>
    <c:fmtId val="10"/>
  </c:pivotSource>
  <c:chart>
    <c:title>
      <c:tx>
        <c:rich>
          <a:bodyPr rot="0" spcFirstLastPara="1" vertOverflow="ellipsis" vert="horz" wrap="square" anchor="ctr" anchorCtr="1"/>
          <a:lstStyle/>
          <a:p>
            <a:pPr>
              <a:defRPr sz="1800" b="1" i="0" u="none" strike="noStrike" kern="1200" baseline="0">
                <a:solidFill>
                  <a:schemeClr val="accent2"/>
                </a:solidFill>
                <a:latin typeface="+mn-lt"/>
                <a:ea typeface="+mn-ea"/>
                <a:cs typeface="+mn-cs"/>
              </a:defRPr>
            </a:pPr>
            <a:r>
              <a:rPr lang="en-US" sz="1800" b="1" i="0" u="none" strike="noStrike" baseline="0"/>
              <a:t>🫁</a:t>
            </a:r>
            <a:r>
              <a:rPr lang="en-US">
                <a:solidFill>
                  <a:schemeClr val="accent6">
                    <a:lumMod val="50000"/>
                  </a:schemeClr>
                </a:solidFill>
                <a:latin typeface="Engravers MT" panose="02090707080505020304" pitchFamily="18" charset="0"/>
              </a:rPr>
              <a:t>Chest Pain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PIVOT!$H$2</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PIVOT!$G$3:$G$7</c:f>
              <c:strCache>
                <c:ptCount val="4"/>
                <c:pt idx="0">
                  <c:v>Asymptomatic</c:v>
                </c:pt>
                <c:pt idx="1">
                  <c:v>Atypical Angina</c:v>
                </c:pt>
                <c:pt idx="2">
                  <c:v>Non-Anginal Pain</c:v>
                </c:pt>
                <c:pt idx="3">
                  <c:v>Typical Angina</c:v>
                </c:pt>
              </c:strCache>
            </c:strRef>
          </c:cat>
          <c:val>
            <c:numRef>
              <c:f>PIVOT!$H$3:$H$7</c:f>
              <c:numCache>
                <c:formatCode>General</c:formatCode>
                <c:ptCount val="4"/>
                <c:pt idx="0">
                  <c:v>77</c:v>
                </c:pt>
                <c:pt idx="1">
                  <c:v>167</c:v>
                </c:pt>
                <c:pt idx="2">
                  <c:v>284</c:v>
                </c:pt>
                <c:pt idx="3">
                  <c:v>499</c:v>
                </c:pt>
              </c:numCache>
            </c:numRef>
          </c:val>
          <c:extLst>
            <c:ext xmlns:c16="http://schemas.microsoft.com/office/drawing/2014/chart" uri="{C3380CC4-5D6E-409C-BE32-E72D297353CC}">
              <c16:uniqueId val="{00000000-EAFF-4833-9D99-0589F3991493}"/>
            </c:ext>
          </c:extLst>
        </c:ser>
        <c:dLbls>
          <c:dLblPos val="inEnd"/>
          <c:showLegendKey val="0"/>
          <c:showVal val="1"/>
          <c:showCatName val="0"/>
          <c:showSerName val="0"/>
          <c:showPercent val="0"/>
          <c:showBubbleSize val="0"/>
        </c:dLbls>
        <c:gapWidth val="65"/>
        <c:axId val="1264400863"/>
        <c:axId val="1264409983"/>
      </c:barChart>
      <c:catAx>
        <c:axId val="12644008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4409983"/>
        <c:crosses val="autoZero"/>
        <c:auto val="1"/>
        <c:lblAlgn val="ctr"/>
        <c:lblOffset val="100"/>
        <c:noMultiLvlLbl val="0"/>
      </c:catAx>
      <c:valAx>
        <c:axId val="1264409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4400863"/>
        <c:crosses val="autoZero"/>
        <c:crossBetween val="between"/>
      </c:valAx>
      <c:spPr>
        <a:noFill/>
        <a:ln>
          <a:noFill/>
        </a:ln>
        <a:effectLst>
          <a:glow rad="63500">
            <a:schemeClr val="accent6">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63500">
        <a:schemeClr val="accent6">
          <a:satMod val="175000"/>
          <a:alpha val="40000"/>
        </a:schemeClr>
      </a:glo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[heart.xlsx]PIVOT!PivotTable6</c:name>
    <c:fmtId val="10"/>
  </c:pivotSource>
  <c:chart>
    <c:title>
      <c:tx>
        <c:rich>
          <a:bodyPr rot="0" spcFirstLastPara="1" vertOverflow="ellipsis" vert="horz" wrap="square" anchor="ctr" anchorCtr="1"/>
          <a:lstStyle/>
          <a:p>
            <a:pPr>
              <a:defRPr sz="1800" b="1" i="0" u="none" strike="noStrike" kern="1200" baseline="0">
                <a:solidFill>
                  <a:schemeClr val="accent2"/>
                </a:solidFill>
                <a:latin typeface="+mn-lt"/>
                <a:ea typeface="+mn-ea"/>
                <a:cs typeface="+mn-cs"/>
              </a:defRPr>
            </a:pPr>
            <a:r>
              <a:rPr lang="en-US" sz="1800" b="1" i="0" u="none" strike="noStrike" baseline="0"/>
              <a:t>🩸</a:t>
            </a:r>
            <a:r>
              <a:rPr lang="en-US">
                <a:solidFill>
                  <a:schemeClr val="accent6">
                    <a:lumMod val="50000"/>
                  </a:schemeClr>
                </a:solidFill>
                <a:latin typeface="Engravers MT" panose="02090707080505020304" pitchFamily="18" charset="0"/>
              </a:rPr>
              <a:t>Blood Pressure Category</a:t>
            </a:r>
          </a:p>
        </c:rich>
      </c:tx>
      <c:layout>
        <c:manualLayout>
          <c:xMode val="edge"/>
          <c:yMode val="edge"/>
          <c:x val="0.21088569835357199"/>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PIVOT!$B$18</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PIVOT!$A$19:$A$23</c:f>
              <c:strCache>
                <c:ptCount val="4"/>
                <c:pt idx="0">
                  <c:v>Elevated</c:v>
                </c:pt>
                <c:pt idx="1">
                  <c:v>High (Stage 1)</c:v>
                </c:pt>
                <c:pt idx="2">
                  <c:v>High (Stage 2)</c:v>
                </c:pt>
                <c:pt idx="3">
                  <c:v>Normal</c:v>
                </c:pt>
              </c:strCache>
            </c:strRef>
          </c:cat>
          <c:val>
            <c:numRef>
              <c:f>PIVOT!$B$19:$B$23</c:f>
              <c:numCache>
                <c:formatCode>General</c:formatCode>
                <c:ptCount val="4"/>
                <c:pt idx="0">
                  <c:v>256</c:v>
                </c:pt>
                <c:pt idx="1">
                  <c:v>244</c:v>
                </c:pt>
                <c:pt idx="2">
                  <c:v>324</c:v>
                </c:pt>
                <c:pt idx="3">
                  <c:v>203</c:v>
                </c:pt>
              </c:numCache>
            </c:numRef>
          </c:val>
          <c:extLst>
            <c:ext xmlns:c16="http://schemas.microsoft.com/office/drawing/2014/chart" uri="{C3380CC4-5D6E-409C-BE32-E72D297353CC}">
              <c16:uniqueId val="{00000000-9AC0-4C7E-949B-E1CDCE551887}"/>
            </c:ext>
          </c:extLst>
        </c:ser>
        <c:dLbls>
          <c:dLblPos val="inEnd"/>
          <c:showLegendKey val="0"/>
          <c:showVal val="1"/>
          <c:showCatName val="0"/>
          <c:showSerName val="0"/>
          <c:showPercent val="0"/>
          <c:showBubbleSize val="0"/>
        </c:dLbls>
        <c:gapWidth val="65"/>
        <c:axId val="1186064080"/>
        <c:axId val="1186060240"/>
      </c:barChart>
      <c:catAx>
        <c:axId val="11860640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86060240"/>
        <c:crosses val="autoZero"/>
        <c:auto val="1"/>
        <c:lblAlgn val="ctr"/>
        <c:lblOffset val="100"/>
        <c:noMultiLvlLbl val="0"/>
      </c:catAx>
      <c:valAx>
        <c:axId val="1186060240"/>
        <c:scaling>
          <c:orientation val="minMax"/>
        </c:scaling>
        <c:delete val="1"/>
        <c:axPos val="l"/>
        <c:numFmt formatCode="General" sourceLinked="1"/>
        <c:majorTickMark val="none"/>
        <c:minorTickMark val="none"/>
        <c:tickLblPos val="nextTo"/>
        <c:crossAx val="118606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63500">
        <a:schemeClr val="accent6">
          <a:satMod val="175000"/>
          <a:alpha val="40000"/>
        </a:schemeClr>
      </a:glo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[heart.xlsx]PIVOT!PivotTable4</c:name>
    <c:fmtId val="10"/>
  </c:pivotSource>
  <c:chart>
    <c:title>
      <c:tx>
        <c:rich>
          <a:bodyPr rot="0" spcFirstLastPara="1" vertOverflow="ellipsis" vert="horz" wrap="square" anchor="ctr" anchorCtr="1"/>
          <a:lstStyle/>
          <a:p>
            <a:pPr>
              <a:defRPr sz="1800" b="1" i="0" u="none" strike="noStrike" kern="1200" baseline="0">
                <a:solidFill>
                  <a:schemeClr val="accent6"/>
                </a:solidFill>
                <a:latin typeface="+mn-lt"/>
                <a:ea typeface="+mn-ea"/>
                <a:cs typeface="+mn-cs"/>
              </a:defRPr>
            </a:pPr>
            <a:r>
              <a:rPr lang="en-US" sz="1800" b="1" i="0" u="none" strike="noStrike" baseline="0"/>
              <a:t>📈</a:t>
            </a:r>
            <a:r>
              <a:rPr lang="en-US">
                <a:solidFill>
                  <a:schemeClr val="accent6">
                    <a:lumMod val="50000"/>
                  </a:schemeClr>
                </a:solidFill>
                <a:latin typeface="Engravers MT" panose="02090707080505020304" pitchFamily="18" charset="0"/>
              </a:rPr>
              <a:t>Heart Disease by Age Group</a:t>
            </a:r>
          </a:p>
        </c:rich>
      </c:tx>
      <c:layout>
        <c:manualLayout>
          <c:xMode val="edge"/>
          <c:yMode val="edge"/>
          <c:x val="0.16248633569107229"/>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6"/>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348754574564457E-2"/>
          <c:y val="0.11337511208115554"/>
          <c:w val="0.95365124542543556"/>
          <c:h val="0.80094433867722892"/>
        </c:manualLayout>
      </c:layout>
      <c:barChart>
        <c:barDir val="col"/>
        <c:grouping val="stacked"/>
        <c:varyColors val="0"/>
        <c:ser>
          <c:idx val="0"/>
          <c:order val="0"/>
          <c:tx>
            <c:strRef>
              <c:f>PIVOT!$E$2</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PIVOT!$D$3:$D$8</c:f>
              <c:strCache>
                <c:ptCount val="5"/>
                <c:pt idx="0">
                  <c:v>18-29</c:v>
                </c:pt>
                <c:pt idx="1">
                  <c:v>30-39</c:v>
                </c:pt>
                <c:pt idx="2">
                  <c:v>40-49</c:v>
                </c:pt>
                <c:pt idx="3">
                  <c:v>50-59</c:v>
                </c:pt>
                <c:pt idx="4">
                  <c:v>60+</c:v>
                </c:pt>
              </c:strCache>
            </c:strRef>
          </c:cat>
          <c:val>
            <c:numRef>
              <c:f>PIVOT!$E$3:$E$8</c:f>
              <c:numCache>
                <c:formatCode>General</c:formatCode>
                <c:ptCount val="5"/>
                <c:pt idx="0">
                  <c:v>5</c:v>
                </c:pt>
                <c:pt idx="1">
                  <c:v>53</c:v>
                </c:pt>
                <c:pt idx="2">
                  <c:v>237</c:v>
                </c:pt>
                <c:pt idx="3">
                  <c:v>423</c:v>
                </c:pt>
                <c:pt idx="4">
                  <c:v>309</c:v>
                </c:pt>
              </c:numCache>
            </c:numRef>
          </c:val>
          <c:extLst>
            <c:ext xmlns:c16="http://schemas.microsoft.com/office/drawing/2014/chart" uri="{C3380CC4-5D6E-409C-BE32-E72D297353CC}">
              <c16:uniqueId val="{00000000-7D1C-4BE5-B73D-4446D0E1A6BC}"/>
            </c:ext>
          </c:extLst>
        </c:ser>
        <c:dLbls>
          <c:dLblPos val="ctr"/>
          <c:showLegendKey val="0"/>
          <c:showVal val="1"/>
          <c:showCatName val="0"/>
          <c:showSerName val="0"/>
          <c:showPercent val="0"/>
          <c:showBubbleSize val="0"/>
        </c:dLbls>
        <c:gapWidth val="150"/>
        <c:overlap val="100"/>
        <c:axId val="1217947968"/>
        <c:axId val="1217940288"/>
      </c:barChart>
      <c:catAx>
        <c:axId val="12179479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17940288"/>
        <c:crosses val="autoZero"/>
        <c:auto val="1"/>
        <c:lblAlgn val="ctr"/>
        <c:lblOffset val="100"/>
        <c:noMultiLvlLbl val="0"/>
      </c:catAx>
      <c:valAx>
        <c:axId val="1217940288"/>
        <c:scaling>
          <c:orientation val="minMax"/>
        </c:scaling>
        <c:delete val="1"/>
        <c:axPos val="l"/>
        <c:numFmt formatCode="General" sourceLinked="1"/>
        <c:majorTickMark val="none"/>
        <c:minorTickMark val="none"/>
        <c:tickLblPos val="nextTo"/>
        <c:crossAx val="121794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63500">
        <a:schemeClr val="accent6">
          <a:satMod val="175000"/>
          <a:alpha val="40000"/>
        </a:schemeClr>
      </a:glo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[heart.xlsx]PIVOT!PivotTable8</c:name>
    <c:fmtId val="11"/>
  </c:pivotSource>
  <c:chart>
    <c:title>
      <c:tx>
        <c:rich>
          <a:bodyPr rot="0" spcFirstLastPara="1" vertOverflow="ellipsis" vert="horz" wrap="square" anchor="ctr" anchorCtr="1"/>
          <a:lstStyle/>
          <a:p>
            <a:pPr>
              <a:defRPr sz="1800" b="1" i="0" u="none" strike="noStrike" kern="1200" baseline="0">
                <a:solidFill>
                  <a:schemeClr val="accent6"/>
                </a:solidFill>
                <a:latin typeface="+mn-lt"/>
                <a:ea typeface="+mn-ea"/>
                <a:cs typeface="+mn-cs"/>
              </a:defRPr>
            </a:pPr>
            <a:r>
              <a:rPr lang="en-US" sz="1800" b="1" i="0" u="none" strike="noStrike" baseline="0"/>
              <a:t>🫀</a:t>
            </a:r>
            <a:r>
              <a:rPr lang="en-US">
                <a:solidFill>
                  <a:schemeClr val="accent6">
                    <a:lumMod val="50000"/>
                  </a:schemeClr>
                </a:solidFill>
                <a:latin typeface="Engravers MT" panose="02090707080505020304" pitchFamily="18" charset="0"/>
              </a:rPr>
              <a:t>Heart Disease by Gender</a:t>
            </a:r>
          </a:p>
        </c:rich>
      </c:tx>
      <c:layout>
        <c:manualLayout>
          <c:xMode val="edge"/>
          <c:yMode val="edge"/>
          <c:x val="0.20296422670811298"/>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6"/>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PIVOT!$H$18:$H$19</c:f>
              <c:strCache>
                <c:ptCount val="1"/>
                <c:pt idx="0">
                  <c:v>Heart Disease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PIVOT!$G$20:$G$22</c:f>
              <c:strCache>
                <c:ptCount val="2"/>
                <c:pt idx="0">
                  <c:v>Female</c:v>
                </c:pt>
                <c:pt idx="1">
                  <c:v>Male</c:v>
                </c:pt>
              </c:strCache>
            </c:strRef>
          </c:cat>
          <c:val>
            <c:numRef>
              <c:f>PIVOT!$H$20:$H$22</c:f>
              <c:numCache>
                <c:formatCode>General</c:formatCode>
                <c:ptCount val="2"/>
                <c:pt idx="0">
                  <c:v>226</c:v>
                </c:pt>
                <c:pt idx="1">
                  <c:v>300</c:v>
                </c:pt>
              </c:numCache>
            </c:numRef>
          </c:val>
          <c:extLst>
            <c:ext xmlns:c16="http://schemas.microsoft.com/office/drawing/2014/chart" uri="{C3380CC4-5D6E-409C-BE32-E72D297353CC}">
              <c16:uniqueId val="{00000000-7354-4FB8-96C5-74938D17DA4C}"/>
            </c:ext>
          </c:extLst>
        </c:ser>
        <c:ser>
          <c:idx val="1"/>
          <c:order val="1"/>
          <c:tx>
            <c:strRef>
              <c:f>PIVOT!$I$18:$I$19</c:f>
              <c:strCache>
                <c:ptCount val="1"/>
                <c:pt idx="0">
                  <c:v>No Disease</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PIVOT!$G$20:$G$22</c:f>
              <c:strCache>
                <c:ptCount val="2"/>
                <c:pt idx="0">
                  <c:v>Female</c:v>
                </c:pt>
                <c:pt idx="1">
                  <c:v>Male</c:v>
                </c:pt>
              </c:strCache>
            </c:strRef>
          </c:cat>
          <c:val>
            <c:numRef>
              <c:f>PIVOT!$I$20:$I$22</c:f>
              <c:numCache>
                <c:formatCode>General</c:formatCode>
                <c:ptCount val="2"/>
                <c:pt idx="0">
                  <c:v>88</c:v>
                </c:pt>
                <c:pt idx="1">
                  <c:v>413</c:v>
                </c:pt>
              </c:numCache>
            </c:numRef>
          </c:val>
          <c:extLst>
            <c:ext xmlns:c16="http://schemas.microsoft.com/office/drawing/2014/chart" uri="{C3380CC4-5D6E-409C-BE32-E72D297353CC}">
              <c16:uniqueId val="{00000001-A0F3-4BDF-9A65-9D7F3DBBE213}"/>
            </c:ext>
          </c:extLst>
        </c:ser>
        <c:dLbls>
          <c:dLblPos val="inEnd"/>
          <c:showLegendKey val="0"/>
          <c:showVal val="1"/>
          <c:showCatName val="0"/>
          <c:showSerName val="0"/>
          <c:showPercent val="0"/>
          <c:showBubbleSize val="0"/>
        </c:dLbls>
        <c:gapWidth val="65"/>
        <c:axId val="1265797984"/>
        <c:axId val="1265800864"/>
      </c:barChart>
      <c:catAx>
        <c:axId val="12657979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5800864"/>
        <c:crosses val="autoZero"/>
        <c:auto val="1"/>
        <c:lblAlgn val="ctr"/>
        <c:lblOffset val="100"/>
        <c:noMultiLvlLbl val="0"/>
      </c:catAx>
      <c:valAx>
        <c:axId val="1265800864"/>
        <c:scaling>
          <c:orientation val="minMax"/>
        </c:scaling>
        <c:delete val="1"/>
        <c:axPos val="l"/>
        <c:numFmt formatCode="General" sourceLinked="1"/>
        <c:majorTickMark val="none"/>
        <c:minorTickMark val="none"/>
        <c:tickLblPos val="nextTo"/>
        <c:crossAx val="1265797984"/>
        <c:crosses val="autoZero"/>
        <c:crossBetween val="between"/>
      </c:valAx>
      <c:spPr>
        <a:noFill/>
        <a:ln>
          <a:noFill/>
        </a:ln>
        <a:effectLst>
          <a:glow rad="63500">
            <a:schemeClr val="accent6">
              <a:satMod val="175000"/>
              <a:alpha val="40000"/>
            </a:schemeClr>
          </a:glow>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63500">
        <a:schemeClr val="accent6">
          <a:satMod val="175000"/>
          <a:alpha val="40000"/>
        </a:schemeClr>
      </a:glo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[heart.xlsx]PIVOT!PivotTable7</c:name>
    <c:fmtId val="10"/>
  </c:pivotSource>
  <c:chart>
    <c:title>
      <c:tx>
        <c:rich>
          <a:bodyPr rot="0" spcFirstLastPara="1" vertOverflow="ellipsis" vert="horz" wrap="square" anchor="ctr" anchorCtr="1"/>
          <a:lstStyle/>
          <a:p>
            <a:pPr>
              <a:defRPr sz="1800" b="1" i="0" u="none" strike="noStrike" kern="1200" baseline="0">
                <a:solidFill>
                  <a:schemeClr val="accent2"/>
                </a:solidFill>
                <a:latin typeface="+mn-lt"/>
                <a:ea typeface="+mn-ea"/>
                <a:cs typeface="+mn-cs"/>
              </a:defRPr>
            </a:pPr>
            <a:r>
              <a:rPr lang="en-US" sz="1800" b="1" i="0" u="none" strike="noStrike" baseline="0"/>
              <a:t>🏃</a:t>
            </a:r>
            <a:r>
              <a:rPr lang="en-US">
                <a:solidFill>
                  <a:schemeClr val="accent6">
                    <a:lumMod val="50000"/>
                  </a:schemeClr>
                </a:solidFill>
                <a:latin typeface="Engravers MT" panose="02090707080505020304" pitchFamily="18" charset="0"/>
              </a:rPr>
              <a:t>Exercise Angina</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2"/>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outerShdw blurRad="254000" sx="102000" sy="102000" algn="ctr" rotWithShape="0">
              <a:prstClr val="black">
                <a:alpha val="20000"/>
              </a:prstClr>
            </a:outerShdw>
          </a:effectLst>
        </c:spPr>
      </c:pivotFmt>
      <c:pivotFmt>
        <c:idx val="12"/>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PIVOT!$E$18</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14D-4867-9323-9B549C68300E}"/>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14D-4867-9323-9B549C68300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PIVOT!$D$19:$D$21</c:f>
              <c:strCache>
                <c:ptCount val="2"/>
                <c:pt idx="0">
                  <c:v>No</c:v>
                </c:pt>
                <c:pt idx="1">
                  <c:v>Yes</c:v>
                </c:pt>
              </c:strCache>
            </c:strRef>
          </c:cat>
          <c:val>
            <c:numRef>
              <c:f>PIVOT!$E$19:$E$21</c:f>
              <c:numCache>
                <c:formatCode>General</c:formatCode>
                <c:ptCount val="2"/>
                <c:pt idx="0">
                  <c:v>682</c:v>
                </c:pt>
                <c:pt idx="1">
                  <c:v>345</c:v>
                </c:pt>
              </c:numCache>
            </c:numRef>
          </c:val>
          <c:extLst>
            <c:ext xmlns:c16="http://schemas.microsoft.com/office/drawing/2014/chart" uri="{C3380CC4-5D6E-409C-BE32-E72D297353CC}">
              <c16:uniqueId val="{00000004-F14D-4867-9323-9B549C68300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63500">
        <a:schemeClr val="accent6">
          <a:satMod val="175000"/>
          <a:alpha val="40000"/>
        </a:schemeClr>
      </a:glo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image" Target="../media/image2.jpeg"/><Relationship Id="rId4" Type="http://schemas.openxmlformats.org/officeDocument/2006/relationships/chart" Target="../charts/chart4.xml"/><Relationship Id="rId9"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27377</xdr:colOff>
      <xdr:row>3</xdr:row>
      <xdr:rowOff>17629</xdr:rowOff>
    </xdr:from>
    <xdr:to>
      <xdr:col>4</xdr:col>
      <xdr:colOff>384849</xdr:colOff>
      <xdr:row>7</xdr:row>
      <xdr:rowOff>31285</xdr:rowOff>
    </xdr:to>
    <xdr:sp macro="" textlink="">
      <xdr:nvSpPr>
        <xdr:cNvPr id="2" name="Rectangle: Rounded Corners 1">
          <a:extLst>
            <a:ext uri="{FF2B5EF4-FFF2-40B4-BE49-F238E27FC236}">
              <a16:creationId xmlns:a16="http://schemas.microsoft.com/office/drawing/2014/main" id="{6CCA7381-D1A6-DDE0-0CF7-0D82B26C982A}"/>
            </a:ext>
          </a:extLst>
        </xdr:cNvPr>
        <xdr:cNvSpPr/>
      </xdr:nvSpPr>
      <xdr:spPr>
        <a:xfrm>
          <a:off x="27377" y="571811"/>
          <a:ext cx="2789714" cy="1091232"/>
        </a:xfrm>
        <a:prstGeom prst="roundRect">
          <a:avLst/>
        </a:prstGeom>
        <a:solidFill>
          <a:schemeClr val="bg2"/>
        </a:solidFill>
        <a:ln>
          <a:solidFill>
            <a:schemeClr val="bg2">
              <a:lumMod val="75000"/>
            </a:schemeClr>
          </a:solidFill>
        </a:ln>
        <a:effectLst>
          <a:glow rad="63500">
            <a:schemeClr val="accent6">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415636</xdr:colOff>
      <xdr:row>2</xdr:row>
      <xdr:rowOff>177030</xdr:rowOff>
    </xdr:from>
    <xdr:to>
      <xdr:col>10</xdr:col>
      <xdr:colOff>208812</xdr:colOff>
      <xdr:row>6</xdr:row>
      <xdr:rowOff>252735</xdr:rowOff>
    </xdr:to>
    <xdr:sp macro="" textlink="">
      <xdr:nvSpPr>
        <xdr:cNvPr id="10" name="Rectangle: Rounded Corners 9">
          <a:extLst>
            <a:ext uri="{FF2B5EF4-FFF2-40B4-BE49-F238E27FC236}">
              <a16:creationId xmlns:a16="http://schemas.microsoft.com/office/drawing/2014/main" id="{D4B75157-F54A-42AE-A3F6-B8B90F86A04E}"/>
            </a:ext>
          </a:extLst>
        </xdr:cNvPr>
        <xdr:cNvSpPr/>
      </xdr:nvSpPr>
      <xdr:spPr>
        <a:xfrm>
          <a:off x="3455939" y="546485"/>
          <a:ext cx="2833479" cy="1068614"/>
        </a:xfrm>
        <a:prstGeom prst="roundRect">
          <a:avLst/>
        </a:prstGeom>
        <a:solidFill>
          <a:schemeClr val="bg2"/>
        </a:solidFill>
        <a:ln>
          <a:solidFill>
            <a:schemeClr val="accent1">
              <a:shade val="15000"/>
            </a:schemeClr>
          </a:solidFill>
        </a:ln>
        <a:effectLst>
          <a:glow rad="63500">
            <a:schemeClr val="accent6">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608060</xdr:colOff>
      <xdr:row>8</xdr:row>
      <xdr:rowOff>4208</xdr:rowOff>
    </xdr:from>
    <xdr:to>
      <xdr:col>13</xdr:col>
      <xdr:colOff>25579</xdr:colOff>
      <xdr:row>25</xdr:row>
      <xdr:rowOff>7697</xdr:rowOff>
    </xdr:to>
    <xdr:graphicFrame macro="">
      <xdr:nvGraphicFramePr>
        <xdr:cNvPr id="13" name="Chart 12">
          <a:extLst>
            <a:ext uri="{FF2B5EF4-FFF2-40B4-BE49-F238E27FC236}">
              <a16:creationId xmlns:a16="http://schemas.microsoft.com/office/drawing/2014/main" id="{DDA684B7-7326-42B5-94F5-35C71FD98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107757</xdr:colOff>
      <xdr:row>3</xdr:row>
      <xdr:rowOff>23091</xdr:rowOff>
    </xdr:from>
    <xdr:to>
      <xdr:col>15</xdr:col>
      <xdr:colOff>577273</xdr:colOff>
      <xdr:row>7</xdr:row>
      <xdr:rowOff>497</xdr:rowOff>
    </xdr:to>
    <xdr:sp macro="" textlink="">
      <xdr:nvSpPr>
        <xdr:cNvPr id="14" name="Rectangle: Rounded Corners 13">
          <a:extLst>
            <a:ext uri="{FF2B5EF4-FFF2-40B4-BE49-F238E27FC236}">
              <a16:creationId xmlns:a16="http://schemas.microsoft.com/office/drawing/2014/main" id="{6F7A9F43-34D2-4ACA-9B12-9C2D302B18ED}"/>
            </a:ext>
          </a:extLst>
        </xdr:cNvPr>
        <xdr:cNvSpPr/>
      </xdr:nvSpPr>
      <xdr:spPr>
        <a:xfrm>
          <a:off x="6796424" y="577273"/>
          <a:ext cx="2901758" cy="1054982"/>
        </a:xfrm>
        <a:prstGeom prst="roundRect">
          <a:avLst/>
        </a:prstGeom>
        <a:solidFill>
          <a:schemeClr val="bg2"/>
        </a:solidFill>
        <a:ln>
          <a:solidFill>
            <a:schemeClr val="accent1">
              <a:shade val="15000"/>
            </a:schemeClr>
          </a:solidFill>
        </a:ln>
        <a:effectLst>
          <a:glow rad="63500">
            <a:schemeClr val="accent6">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292485</xdr:colOff>
      <xdr:row>2</xdr:row>
      <xdr:rowOff>169333</xdr:rowOff>
    </xdr:from>
    <xdr:to>
      <xdr:col>26</xdr:col>
      <xdr:colOff>561879</xdr:colOff>
      <xdr:row>6</xdr:row>
      <xdr:rowOff>246303</xdr:rowOff>
    </xdr:to>
    <xdr:sp macro="" textlink="">
      <xdr:nvSpPr>
        <xdr:cNvPr id="15" name="Rectangle: Rounded Corners 14">
          <a:extLst>
            <a:ext uri="{FF2B5EF4-FFF2-40B4-BE49-F238E27FC236}">
              <a16:creationId xmlns:a16="http://schemas.microsoft.com/office/drawing/2014/main" id="{FFDFB5F3-2BBB-479A-B7FA-D10357DBA8CB}"/>
            </a:ext>
          </a:extLst>
        </xdr:cNvPr>
        <xdr:cNvSpPr/>
      </xdr:nvSpPr>
      <xdr:spPr>
        <a:xfrm>
          <a:off x="13669818" y="538788"/>
          <a:ext cx="2701637" cy="1069879"/>
        </a:xfrm>
        <a:prstGeom prst="roundRect">
          <a:avLst/>
        </a:prstGeom>
        <a:solidFill>
          <a:schemeClr val="bg2"/>
        </a:solidFill>
        <a:ln>
          <a:solidFill>
            <a:schemeClr val="accent1">
              <a:shade val="15000"/>
            </a:schemeClr>
          </a:solidFill>
        </a:ln>
        <a:effectLst>
          <a:glow rad="63500">
            <a:schemeClr val="accent6">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20358</xdr:colOff>
      <xdr:row>25</xdr:row>
      <xdr:rowOff>177750</xdr:rowOff>
    </xdr:from>
    <xdr:to>
      <xdr:col>13</xdr:col>
      <xdr:colOff>30788</xdr:colOff>
      <xdr:row>43</xdr:row>
      <xdr:rowOff>146242</xdr:rowOff>
    </xdr:to>
    <xdr:graphicFrame macro="">
      <xdr:nvGraphicFramePr>
        <xdr:cNvPr id="19" name="Chart 18">
          <a:extLst>
            <a:ext uri="{FF2B5EF4-FFF2-40B4-BE49-F238E27FC236}">
              <a16:creationId xmlns:a16="http://schemas.microsoft.com/office/drawing/2014/main" id="{43625158-F8A0-4868-A87F-63523E913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23091</xdr:colOff>
      <xdr:row>8</xdr:row>
      <xdr:rowOff>4646</xdr:rowOff>
    </xdr:from>
    <xdr:to>
      <xdr:col>23</xdr:col>
      <xdr:colOff>30788</xdr:colOff>
      <xdr:row>25</xdr:row>
      <xdr:rowOff>7698</xdr:rowOff>
    </xdr:to>
    <xdr:graphicFrame macro="">
      <xdr:nvGraphicFramePr>
        <xdr:cNvPr id="20" name="Chart 19">
          <a:extLst>
            <a:ext uri="{FF2B5EF4-FFF2-40B4-BE49-F238E27FC236}">
              <a16:creationId xmlns:a16="http://schemas.microsoft.com/office/drawing/2014/main" id="{7A6A7E7B-BE3A-44CA-8A0E-5A80ABD55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30787</xdr:colOff>
      <xdr:row>44</xdr:row>
      <xdr:rowOff>153939</xdr:rowOff>
    </xdr:from>
    <xdr:to>
      <xdr:col>12</xdr:col>
      <xdr:colOff>584970</xdr:colOff>
      <xdr:row>62</xdr:row>
      <xdr:rowOff>169333</xdr:rowOff>
    </xdr:to>
    <xdr:graphicFrame macro="">
      <xdr:nvGraphicFramePr>
        <xdr:cNvPr id="21" name="Chart 20">
          <a:extLst>
            <a:ext uri="{FF2B5EF4-FFF2-40B4-BE49-F238E27FC236}">
              <a16:creationId xmlns:a16="http://schemas.microsoft.com/office/drawing/2014/main" id="{B44A4FB2-7A56-497E-AB27-A325EFB4B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38484</xdr:colOff>
      <xdr:row>64</xdr:row>
      <xdr:rowOff>1</xdr:rowOff>
    </xdr:from>
    <xdr:to>
      <xdr:col>22</xdr:col>
      <xdr:colOff>577272</xdr:colOff>
      <xdr:row>81</xdr:row>
      <xdr:rowOff>161637</xdr:rowOff>
    </xdr:to>
    <xdr:graphicFrame macro="">
      <xdr:nvGraphicFramePr>
        <xdr:cNvPr id="22" name="Chart 21">
          <a:extLst>
            <a:ext uri="{FF2B5EF4-FFF2-40B4-BE49-F238E27FC236}">
              <a16:creationId xmlns:a16="http://schemas.microsoft.com/office/drawing/2014/main" id="{FD58FA6E-CD08-4952-92CE-3B80C7AEB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7697</xdr:colOff>
      <xdr:row>64</xdr:row>
      <xdr:rowOff>1</xdr:rowOff>
    </xdr:from>
    <xdr:to>
      <xdr:col>13</xdr:col>
      <xdr:colOff>15394</xdr:colOff>
      <xdr:row>82</xdr:row>
      <xdr:rowOff>0</xdr:rowOff>
    </xdr:to>
    <xdr:graphicFrame macro="">
      <xdr:nvGraphicFramePr>
        <xdr:cNvPr id="24" name="Chart 23">
          <a:extLst>
            <a:ext uri="{FF2B5EF4-FFF2-40B4-BE49-F238E27FC236}">
              <a16:creationId xmlns:a16="http://schemas.microsoft.com/office/drawing/2014/main" id="{5E40BC81-A52A-4AC7-9B94-9DC8E2C73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602629</xdr:colOff>
      <xdr:row>44</xdr:row>
      <xdr:rowOff>177032</xdr:rowOff>
    </xdr:from>
    <xdr:to>
      <xdr:col>23</xdr:col>
      <xdr:colOff>15395</xdr:colOff>
      <xdr:row>63</xdr:row>
      <xdr:rowOff>7697</xdr:rowOff>
    </xdr:to>
    <xdr:graphicFrame macro="">
      <xdr:nvGraphicFramePr>
        <xdr:cNvPr id="26" name="Chart 25">
          <a:extLst>
            <a:ext uri="{FF2B5EF4-FFF2-40B4-BE49-F238E27FC236}">
              <a16:creationId xmlns:a16="http://schemas.microsoft.com/office/drawing/2014/main" id="{D29727F1-D4BF-4BBD-8F65-6C8EE5557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592665</xdr:colOff>
      <xdr:row>26</xdr:row>
      <xdr:rowOff>7697</xdr:rowOff>
    </xdr:from>
    <xdr:to>
      <xdr:col>22</xdr:col>
      <xdr:colOff>592667</xdr:colOff>
      <xdr:row>44</xdr:row>
      <xdr:rowOff>7697</xdr:rowOff>
    </xdr:to>
    <xdr:graphicFrame macro="">
      <xdr:nvGraphicFramePr>
        <xdr:cNvPr id="27" name="Chart 26">
          <a:extLst>
            <a:ext uri="{FF2B5EF4-FFF2-40B4-BE49-F238E27FC236}">
              <a16:creationId xmlns:a16="http://schemas.microsoft.com/office/drawing/2014/main" id="{0F9986D7-C8BE-4B8C-8B86-D8E4DA4FB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546485</xdr:colOff>
      <xdr:row>3</xdr:row>
      <xdr:rowOff>84668</xdr:rowOff>
    </xdr:from>
    <xdr:ext cx="1955030" cy="1077574"/>
    <xdr:sp macro="" textlink="">
      <xdr:nvSpPr>
        <xdr:cNvPr id="3" name="TextBox 2">
          <a:extLst>
            <a:ext uri="{FF2B5EF4-FFF2-40B4-BE49-F238E27FC236}">
              <a16:creationId xmlns:a16="http://schemas.microsoft.com/office/drawing/2014/main" id="{79E8DD74-B620-4EB1-5073-8F6309802D3E}"/>
            </a:ext>
          </a:extLst>
        </xdr:cNvPr>
        <xdr:cNvSpPr txBox="1"/>
      </xdr:nvSpPr>
      <xdr:spPr>
        <a:xfrm>
          <a:off x="546485" y="638850"/>
          <a:ext cx="1955030" cy="10775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i="0" u="none" strike="noStrike">
              <a:solidFill>
                <a:schemeClr val="accent6">
                  <a:lumMod val="50000"/>
                </a:schemeClr>
              </a:solidFill>
              <a:effectLst/>
              <a:latin typeface="Engravers MT" panose="02090707080505020304" pitchFamily="18" charset="0"/>
              <a:ea typeface="+mn-ea"/>
              <a:cs typeface="+mn-cs"/>
            </a:rPr>
            <a:t>👥  TOTAL     PATIENTS</a:t>
          </a:r>
        </a:p>
        <a:p>
          <a:r>
            <a:rPr lang="en-US" sz="1600" b="1" i="0" u="none" strike="noStrike">
              <a:solidFill>
                <a:schemeClr val="accent6">
                  <a:lumMod val="50000"/>
                </a:schemeClr>
              </a:solidFill>
              <a:effectLst/>
              <a:latin typeface="Engravers MT" panose="02090707080505020304" pitchFamily="18" charset="0"/>
              <a:ea typeface="+mn-ea"/>
              <a:cs typeface="+mn-cs"/>
            </a:rPr>
            <a:t>       1027</a:t>
          </a:r>
        </a:p>
        <a:p>
          <a:endParaRPr lang="en-US" sz="1600" b="1" i="0" u="none" strike="noStrike">
            <a:solidFill>
              <a:schemeClr val="accent6">
                <a:lumMod val="50000"/>
              </a:schemeClr>
            </a:solidFill>
            <a:effectLst/>
            <a:latin typeface="Engravers MT" panose="02090707080505020304" pitchFamily="18" charset="0"/>
            <a:ea typeface="+mn-ea"/>
            <a:cs typeface="+mn-cs"/>
          </a:endParaRPr>
        </a:p>
        <a:p>
          <a:r>
            <a:rPr lang="en-US" sz="1600" b="1" i="0" u="none" strike="noStrike">
              <a:solidFill>
                <a:schemeClr val="accent6">
                  <a:lumMod val="50000"/>
                </a:schemeClr>
              </a:solidFill>
              <a:effectLst/>
              <a:latin typeface="Engravers MT" panose="02090707080505020304" pitchFamily="18" charset="0"/>
              <a:ea typeface="+mn-ea"/>
              <a:cs typeface="+mn-cs"/>
            </a:rPr>
            <a:t>  </a:t>
          </a:r>
        </a:p>
        <a:p>
          <a:r>
            <a:rPr lang="en-US" sz="1600" b="1">
              <a:solidFill>
                <a:schemeClr val="accent6">
                  <a:lumMod val="50000"/>
                </a:schemeClr>
              </a:solidFill>
              <a:effectLst/>
              <a:latin typeface="Engravers MT" panose="02090707080505020304" pitchFamily="18" charset="0"/>
            </a:rPr>
            <a:t> </a:t>
          </a:r>
          <a:endParaRPr lang="en-US" sz="1600" b="1">
            <a:solidFill>
              <a:schemeClr val="accent6">
                <a:lumMod val="50000"/>
              </a:schemeClr>
            </a:solidFill>
            <a:latin typeface="Engravers MT" panose="02090707080505020304" pitchFamily="18" charset="0"/>
          </a:endParaRPr>
        </a:p>
      </xdr:txBody>
    </xdr:sp>
    <xdr:clientData/>
  </xdr:oneCellAnchor>
  <xdr:oneCellAnchor>
    <xdr:from>
      <xdr:col>6</xdr:col>
      <xdr:colOff>161635</xdr:colOff>
      <xdr:row>3</xdr:row>
      <xdr:rowOff>20857</xdr:rowOff>
    </xdr:from>
    <xdr:ext cx="2216728" cy="1072113"/>
    <xdr:sp macro="" textlink="">
      <xdr:nvSpPr>
        <xdr:cNvPr id="4" name="TextBox 3">
          <a:extLst>
            <a:ext uri="{FF2B5EF4-FFF2-40B4-BE49-F238E27FC236}">
              <a16:creationId xmlns:a16="http://schemas.microsoft.com/office/drawing/2014/main" id="{0750C5E2-48EE-B54B-3D49-11785CAFFAF4}"/>
            </a:ext>
          </a:extLst>
        </xdr:cNvPr>
        <xdr:cNvSpPr txBox="1"/>
      </xdr:nvSpPr>
      <xdr:spPr>
        <a:xfrm>
          <a:off x="3809999" y="575039"/>
          <a:ext cx="2216728" cy="1072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i="0" u="none" strike="noStrike">
              <a:solidFill>
                <a:schemeClr val="accent6">
                  <a:lumMod val="50000"/>
                </a:schemeClr>
              </a:solidFill>
              <a:effectLst/>
              <a:latin typeface="Engravers MT" panose="02090707080505020304" pitchFamily="18" charset="0"/>
              <a:ea typeface="+mn-ea"/>
              <a:cs typeface="+mn-cs"/>
            </a:rPr>
            <a:t>    ❤️ HEART </a:t>
          </a:r>
        </a:p>
        <a:p>
          <a:r>
            <a:rPr lang="en-US" sz="1600" b="1" i="0" u="none" strike="noStrike">
              <a:solidFill>
                <a:schemeClr val="accent6">
                  <a:lumMod val="50000"/>
                </a:schemeClr>
              </a:solidFill>
              <a:effectLst/>
              <a:latin typeface="Engravers MT" panose="02090707080505020304" pitchFamily="18" charset="0"/>
              <a:ea typeface="+mn-ea"/>
              <a:cs typeface="+mn-cs"/>
            </a:rPr>
            <a:t>DISEASE CASES</a:t>
          </a:r>
        </a:p>
        <a:p>
          <a:r>
            <a:rPr lang="en-US" sz="1600" b="1" i="0" u="none" strike="noStrike">
              <a:solidFill>
                <a:schemeClr val="accent6">
                  <a:lumMod val="50000"/>
                </a:schemeClr>
              </a:solidFill>
              <a:effectLst/>
              <a:latin typeface="Engravers MT" panose="02090707080505020304" pitchFamily="18" charset="0"/>
              <a:ea typeface="+mn-ea"/>
              <a:cs typeface="+mn-cs"/>
            </a:rPr>
            <a:t>            526</a:t>
          </a:r>
          <a:r>
            <a:rPr lang="en-US" sz="1600" b="1">
              <a:solidFill>
                <a:schemeClr val="accent6">
                  <a:lumMod val="50000"/>
                </a:schemeClr>
              </a:solidFill>
              <a:effectLst/>
              <a:latin typeface="Engravers MT" panose="02090707080505020304" pitchFamily="18" charset="0"/>
            </a:rPr>
            <a:t> </a:t>
          </a:r>
          <a:endParaRPr lang="en-US" sz="1600" b="1">
            <a:solidFill>
              <a:schemeClr val="accent6">
                <a:lumMod val="50000"/>
              </a:schemeClr>
            </a:solidFill>
            <a:latin typeface="Engravers MT" panose="02090707080505020304" pitchFamily="18" charset="0"/>
          </a:endParaRPr>
        </a:p>
      </xdr:txBody>
    </xdr:sp>
    <xdr:clientData/>
  </xdr:oneCellAnchor>
  <xdr:oneCellAnchor>
    <xdr:from>
      <xdr:col>12</xdr:col>
      <xdr:colOff>84669</xdr:colOff>
      <xdr:row>3</xdr:row>
      <xdr:rowOff>69272</xdr:rowOff>
    </xdr:from>
    <xdr:ext cx="1647151" cy="1000606"/>
    <xdr:sp macro="" textlink="">
      <xdr:nvSpPr>
        <xdr:cNvPr id="6" name="TextBox 5">
          <a:extLst>
            <a:ext uri="{FF2B5EF4-FFF2-40B4-BE49-F238E27FC236}">
              <a16:creationId xmlns:a16="http://schemas.microsoft.com/office/drawing/2014/main" id="{10DC266D-FCD7-35F3-BAAD-90409583ECAF}"/>
            </a:ext>
          </a:extLst>
        </xdr:cNvPr>
        <xdr:cNvSpPr txBox="1"/>
      </xdr:nvSpPr>
      <xdr:spPr>
        <a:xfrm>
          <a:off x="7381396" y="623454"/>
          <a:ext cx="1647151" cy="10006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i="0" u="none" strike="noStrike">
              <a:solidFill>
                <a:schemeClr val="accent6">
                  <a:lumMod val="50000"/>
                </a:schemeClr>
              </a:solidFill>
              <a:effectLst/>
              <a:latin typeface="Engravers MT" panose="02090707080505020304" pitchFamily="18" charset="0"/>
              <a:ea typeface="+mn-ea"/>
              <a:cs typeface="+mn-cs"/>
            </a:rPr>
            <a:t>📊DISEASE</a:t>
          </a:r>
        </a:p>
        <a:p>
          <a:r>
            <a:rPr lang="en-US" sz="1600" b="1" i="0" u="none" strike="noStrike" baseline="0">
              <a:solidFill>
                <a:schemeClr val="accent6">
                  <a:lumMod val="50000"/>
                </a:schemeClr>
              </a:solidFill>
              <a:effectLst/>
              <a:latin typeface="Engravers MT" panose="02090707080505020304" pitchFamily="18" charset="0"/>
              <a:ea typeface="+mn-ea"/>
              <a:cs typeface="+mn-cs"/>
            </a:rPr>
            <a:t>      RATE</a:t>
          </a:r>
          <a:r>
            <a:rPr lang="en-US" sz="1600" b="1">
              <a:solidFill>
                <a:schemeClr val="accent6">
                  <a:lumMod val="50000"/>
                </a:schemeClr>
              </a:solidFill>
              <a:effectLst/>
              <a:latin typeface="Engravers MT" panose="02090707080505020304" pitchFamily="18" charset="0"/>
            </a:rPr>
            <a:t> </a:t>
          </a:r>
        </a:p>
        <a:p>
          <a:r>
            <a:rPr lang="en-US" sz="1600" b="1">
              <a:solidFill>
                <a:schemeClr val="accent6">
                  <a:lumMod val="50000"/>
                </a:schemeClr>
              </a:solidFill>
              <a:effectLst/>
              <a:latin typeface="Engravers MT" panose="02090707080505020304" pitchFamily="18" charset="0"/>
            </a:rPr>
            <a:t>       51.2%</a:t>
          </a:r>
          <a:r>
            <a:rPr lang="en-US" sz="1600" b="1">
              <a:solidFill>
                <a:schemeClr val="accent6">
                  <a:lumMod val="50000"/>
                </a:schemeClr>
              </a:solidFill>
              <a:latin typeface="Engravers MT" panose="02090707080505020304" pitchFamily="18" charset="0"/>
            </a:rPr>
            <a:t>     </a:t>
          </a:r>
        </a:p>
      </xdr:txBody>
    </xdr:sp>
    <xdr:clientData/>
  </xdr:oneCellAnchor>
  <xdr:oneCellAnchor>
    <xdr:from>
      <xdr:col>15</xdr:col>
      <xdr:colOff>323273</xdr:colOff>
      <xdr:row>3</xdr:row>
      <xdr:rowOff>138545</xdr:rowOff>
    </xdr:from>
    <xdr:ext cx="184731" cy="342786"/>
    <xdr:sp macro="" textlink="">
      <xdr:nvSpPr>
        <xdr:cNvPr id="7" name="TextBox 6">
          <a:extLst>
            <a:ext uri="{FF2B5EF4-FFF2-40B4-BE49-F238E27FC236}">
              <a16:creationId xmlns:a16="http://schemas.microsoft.com/office/drawing/2014/main" id="{1D43F856-EB3D-96A8-6754-74507C43F05C}"/>
            </a:ext>
          </a:extLst>
        </xdr:cNvPr>
        <xdr:cNvSpPr txBox="1"/>
      </xdr:nvSpPr>
      <xdr:spPr>
        <a:xfrm>
          <a:off x="9444182" y="692727"/>
          <a:ext cx="18473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600">
            <a:solidFill>
              <a:schemeClr val="accent6">
                <a:lumMod val="50000"/>
              </a:schemeClr>
            </a:solidFill>
          </a:endParaRPr>
        </a:p>
      </xdr:txBody>
    </xdr:sp>
    <xdr:clientData/>
  </xdr:oneCellAnchor>
  <xdr:oneCellAnchor>
    <xdr:from>
      <xdr:col>23</xdr:col>
      <xdr:colOff>76964</xdr:colOff>
      <xdr:row>3</xdr:row>
      <xdr:rowOff>69270</xdr:rowOff>
    </xdr:from>
    <xdr:ext cx="1847276" cy="843180"/>
    <xdr:sp macro="" textlink="">
      <xdr:nvSpPr>
        <xdr:cNvPr id="8" name="TextBox 7">
          <a:extLst>
            <a:ext uri="{FF2B5EF4-FFF2-40B4-BE49-F238E27FC236}">
              <a16:creationId xmlns:a16="http://schemas.microsoft.com/office/drawing/2014/main" id="{CF53E776-245B-4C12-CAF1-86F1A115682D}"/>
            </a:ext>
          </a:extLst>
        </xdr:cNvPr>
        <xdr:cNvSpPr txBox="1"/>
      </xdr:nvSpPr>
      <xdr:spPr>
        <a:xfrm flipH="1">
          <a:off x="14062358" y="623452"/>
          <a:ext cx="1847276" cy="843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accent6">
                  <a:lumMod val="50000"/>
                </a:schemeClr>
              </a:solidFill>
              <a:latin typeface="Engravers MT" panose="02090707080505020304" pitchFamily="18" charset="0"/>
            </a:rPr>
            <a:t> </a:t>
          </a:r>
          <a:r>
            <a:rPr lang="en-US" sz="1600">
              <a:latin typeface="Engravers MT" panose="02090707080505020304" pitchFamily="18" charset="0"/>
            </a:rPr>
            <a:t>📈</a:t>
          </a:r>
          <a:r>
            <a:rPr lang="en-US" sz="1600" b="1">
              <a:solidFill>
                <a:schemeClr val="accent6">
                  <a:lumMod val="50000"/>
                </a:schemeClr>
              </a:solidFill>
              <a:latin typeface="Engravers MT" panose="02090707080505020304" pitchFamily="18" charset="0"/>
            </a:rPr>
            <a:t>Average</a:t>
          </a:r>
        </a:p>
        <a:p>
          <a:r>
            <a:rPr lang="en-US" sz="1600" b="1" baseline="0">
              <a:solidFill>
                <a:schemeClr val="accent6">
                  <a:lumMod val="50000"/>
                </a:schemeClr>
              </a:solidFill>
              <a:latin typeface="Engravers MT" panose="02090707080505020304" pitchFamily="18" charset="0"/>
            </a:rPr>
            <a:t>          AGE</a:t>
          </a:r>
        </a:p>
        <a:p>
          <a:r>
            <a:rPr lang="en-US" sz="1600" b="1" baseline="0">
              <a:solidFill>
                <a:schemeClr val="accent6">
                  <a:lumMod val="50000"/>
                </a:schemeClr>
              </a:solidFill>
              <a:latin typeface="Engravers MT" panose="02090707080505020304" pitchFamily="18" charset="0"/>
            </a:rPr>
            <a:t>          54.4</a:t>
          </a:r>
          <a:endParaRPr lang="en-US" sz="1600" b="1">
            <a:solidFill>
              <a:schemeClr val="accent6">
                <a:lumMod val="50000"/>
              </a:schemeClr>
            </a:solidFill>
            <a:latin typeface="Engravers MT" panose="02090707080505020304" pitchFamily="18" charset="0"/>
          </a:endParaRPr>
        </a:p>
      </xdr:txBody>
    </xdr:sp>
    <xdr:clientData/>
  </xdr:oneCellAnchor>
  <xdr:twoCellAnchor>
    <xdr:from>
      <xdr:col>16</xdr:col>
      <xdr:colOff>561878</xdr:colOff>
      <xdr:row>2</xdr:row>
      <xdr:rowOff>177030</xdr:rowOff>
    </xdr:from>
    <xdr:to>
      <xdr:col>21</xdr:col>
      <xdr:colOff>338667</xdr:colOff>
      <xdr:row>7</xdr:row>
      <xdr:rowOff>15394</xdr:rowOff>
    </xdr:to>
    <xdr:sp macro="" textlink="">
      <xdr:nvSpPr>
        <xdr:cNvPr id="9" name="Rectangle: Rounded Corners 8">
          <a:extLst>
            <a:ext uri="{FF2B5EF4-FFF2-40B4-BE49-F238E27FC236}">
              <a16:creationId xmlns:a16="http://schemas.microsoft.com/office/drawing/2014/main" id="{BE7C551D-7D46-4BED-BC8A-342013F34C8B}"/>
            </a:ext>
          </a:extLst>
        </xdr:cNvPr>
        <xdr:cNvSpPr/>
      </xdr:nvSpPr>
      <xdr:spPr>
        <a:xfrm>
          <a:off x="10290848" y="546485"/>
          <a:ext cx="2817092" cy="1100667"/>
        </a:xfrm>
        <a:prstGeom prst="roundRect">
          <a:avLst/>
        </a:prstGeom>
        <a:solidFill>
          <a:schemeClr val="bg2"/>
        </a:solidFill>
        <a:ln>
          <a:solidFill>
            <a:schemeClr val="accent1">
              <a:shade val="15000"/>
            </a:schemeClr>
          </a:solidFill>
        </a:ln>
        <a:effectLst>
          <a:glow rad="63500">
            <a:schemeClr val="accent6">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17</xdr:col>
      <xdr:colOff>400242</xdr:colOff>
      <xdr:row>3</xdr:row>
      <xdr:rowOff>76970</xdr:rowOff>
    </xdr:from>
    <xdr:ext cx="1793395" cy="1039090"/>
    <xdr:sp macro="" textlink="">
      <xdr:nvSpPr>
        <xdr:cNvPr id="11" name="TextBox 10">
          <a:extLst>
            <a:ext uri="{FF2B5EF4-FFF2-40B4-BE49-F238E27FC236}">
              <a16:creationId xmlns:a16="http://schemas.microsoft.com/office/drawing/2014/main" id="{5A64EE2B-268E-2AD8-24B9-B5F9D2ABBB59}"/>
            </a:ext>
          </a:extLst>
        </xdr:cNvPr>
        <xdr:cNvSpPr txBox="1"/>
      </xdr:nvSpPr>
      <xdr:spPr>
        <a:xfrm>
          <a:off x="10737272" y="631152"/>
          <a:ext cx="1793395" cy="10390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accent6">
                  <a:lumMod val="50000"/>
                </a:schemeClr>
              </a:solidFill>
              <a:latin typeface="Engravers MT" panose="02090707080505020304" pitchFamily="18" charset="0"/>
            </a:rPr>
            <a:t>💚Healthy</a:t>
          </a:r>
        </a:p>
        <a:p>
          <a:r>
            <a:rPr lang="en-US" sz="1600" b="1" baseline="0">
              <a:solidFill>
                <a:schemeClr val="accent6">
                  <a:lumMod val="50000"/>
                </a:schemeClr>
              </a:solidFill>
              <a:latin typeface="Engravers MT" panose="02090707080505020304" pitchFamily="18" charset="0"/>
            </a:rPr>
            <a:t>   PATIENTS</a:t>
          </a:r>
        </a:p>
        <a:p>
          <a:r>
            <a:rPr lang="en-US" sz="1600" b="1" baseline="0">
              <a:solidFill>
                <a:schemeClr val="accent6">
                  <a:lumMod val="50000"/>
                </a:schemeClr>
              </a:solidFill>
              <a:latin typeface="Engravers MT" panose="02090707080505020304" pitchFamily="18" charset="0"/>
            </a:rPr>
            <a:t>         501</a:t>
          </a:r>
          <a:endParaRPr lang="en-US" sz="1600" b="1">
            <a:solidFill>
              <a:schemeClr val="accent6">
                <a:lumMod val="50000"/>
              </a:schemeClr>
            </a:solidFill>
            <a:latin typeface="Engravers MT" panose="02090707080505020304" pitchFamily="18" charset="0"/>
          </a:endParaRPr>
        </a:p>
      </xdr:txBody>
    </xdr:sp>
    <xdr:clientData/>
  </xdr:oneCellAnchor>
  <xdr:twoCellAnchor editAs="oneCell">
    <xdr:from>
      <xdr:col>0</xdr:col>
      <xdr:colOff>61577</xdr:colOff>
      <xdr:row>8</xdr:row>
      <xdr:rowOff>84667</xdr:rowOff>
    </xdr:from>
    <xdr:to>
      <xdr:col>3</xdr:col>
      <xdr:colOff>523395</xdr:colOff>
      <xdr:row>24</xdr:row>
      <xdr:rowOff>84667</xdr:rowOff>
    </xdr:to>
    <xdr:pic>
      <xdr:nvPicPr>
        <xdr:cNvPr id="17" name="Picture 16">
          <a:extLst>
            <a:ext uri="{FF2B5EF4-FFF2-40B4-BE49-F238E27FC236}">
              <a16:creationId xmlns:a16="http://schemas.microsoft.com/office/drawing/2014/main" id="{E8B942E7-85A0-3F00-7635-945FEA7E8682}"/>
            </a:ext>
          </a:extLst>
        </xdr:cNvPr>
        <xdr:cNvPicPr>
          <a:picLocks noChangeAspect="1"/>
        </xdr:cNvPicPr>
      </xdr:nvPicPr>
      <xdr:blipFill>
        <a:blip xmlns:r="http://schemas.openxmlformats.org/officeDocument/2006/relationships" r:embed="rId9" cstate="print">
          <a:alphaModFix/>
          <a:extLst>
            <a:ext uri="{28A0092B-C50C-407E-A947-70E740481C1C}">
              <a14:useLocalDpi xmlns:a14="http://schemas.microsoft.com/office/drawing/2010/main" val="0"/>
            </a:ext>
          </a:extLst>
        </a:blip>
        <a:stretch>
          <a:fillRect/>
        </a:stretch>
      </xdr:blipFill>
      <xdr:spPr>
        <a:xfrm>
          <a:off x="61577" y="1901152"/>
          <a:ext cx="2286000" cy="3040303"/>
        </a:xfrm>
        <a:prstGeom prst="roundRect">
          <a:avLst>
            <a:gd name="adj" fmla="val 11111"/>
          </a:avLst>
        </a:prstGeom>
        <a:ln w="190500" cap="rnd">
          <a:solidFill>
            <a:srgbClr val="C8C6BD"/>
          </a:solidFill>
          <a:prstDash val="solid"/>
        </a:ln>
        <a:effectLst>
          <a:glow rad="63500">
            <a:schemeClr val="accent6">
              <a:satMod val="175000"/>
              <a:alpha val="40000"/>
            </a:schemeClr>
          </a:glow>
          <a:outerShdw blurRad="101600" dist="50800" dir="7200000" algn="tl" rotWithShape="0">
            <a:srgbClr val="000000">
              <a:alpha val="45000"/>
            </a:srgbClr>
          </a:outerShdw>
        </a:effectLst>
        <a:scene3d>
          <a:camera prst="perspectiveFront" fov="5400000"/>
          <a:lightRig rig="threePt" dir="t">
            <a:rot lat="0" lon="0" rev="19200000"/>
          </a:lightRig>
        </a:scene3d>
        <a:sp3d extrusionH="25400">
          <a:bevelT w="304800" h="152400" prst="relaxedInset"/>
          <a:extrusionClr>
            <a:srgbClr val="FFFFFF"/>
          </a:extrusionClr>
        </a:sp3d>
      </xdr:spPr>
    </xdr:pic>
    <xdr:clientData/>
  </xdr:twoCellAnchor>
  <xdr:twoCellAnchor editAs="oneCell">
    <xdr:from>
      <xdr:col>0</xdr:col>
      <xdr:colOff>23091</xdr:colOff>
      <xdr:row>26</xdr:row>
      <xdr:rowOff>92363</xdr:rowOff>
    </xdr:from>
    <xdr:to>
      <xdr:col>3</xdr:col>
      <xdr:colOff>500303</xdr:colOff>
      <xdr:row>43</xdr:row>
      <xdr:rowOff>92364</xdr:rowOff>
    </xdr:to>
    <xdr:pic>
      <xdr:nvPicPr>
        <xdr:cNvPr id="23" name="Picture 22">
          <a:extLst>
            <a:ext uri="{FF2B5EF4-FFF2-40B4-BE49-F238E27FC236}">
              <a16:creationId xmlns:a16="http://schemas.microsoft.com/office/drawing/2014/main" id="{8CA71D24-D690-B984-C051-0D917BE2BDB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23091" y="5318605"/>
          <a:ext cx="2301394" cy="3140365"/>
        </a:xfrm>
        <a:prstGeom prst="roundRect">
          <a:avLst>
            <a:gd name="adj" fmla="val 11111"/>
          </a:avLst>
        </a:prstGeom>
        <a:ln w="190500" cap="rnd">
          <a:solidFill>
            <a:srgbClr val="C8C6BD"/>
          </a:solidFill>
          <a:prstDash val="solid"/>
        </a:ln>
        <a:effectLst>
          <a:glow rad="63500">
            <a:schemeClr val="accent6">
              <a:satMod val="175000"/>
              <a:alpha val="40000"/>
            </a:schemeClr>
          </a:glow>
          <a:outerShdw blurRad="101600" dist="50800" dir="7200000" algn="tl" rotWithShape="0">
            <a:srgbClr val="000000">
              <a:alpha val="45000"/>
            </a:srgbClr>
          </a:outerShdw>
        </a:effectLst>
        <a:scene3d>
          <a:camera prst="perspectiveFront" fov="5400000"/>
          <a:lightRig rig="threePt" dir="t">
            <a:rot lat="0" lon="0" rev="19200000"/>
          </a:lightRig>
        </a:scene3d>
        <a:sp3d extrusionH="25400">
          <a:bevelT w="304800" h="152400" prst="relaxedInset"/>
          <a:extrusionClr>
            <a:srgbClr val="FFFFFF"/>
          </a:extrusionClr>
        </a:sp3d>
      </xdr:spPr>
    </xdr:pic>
    <xdr:clientData/>
  </xdr:twoCellAnchor>
  <xdr:twoCellAnchor editAs="oneCell">
    <xdr:from>
      <xdr:col>0</xdr:col>
      <xdr:colOff>38485</xdr:colOff>
      <xdr:row>45</xdr:row>
      <xdr:rowOff>76969</xdr:rowOff>
    </xdr:from>
    <xdr:to>
      <xdr:col>3</xdr:col>
      <xdr:colOff>508000</xdr:colOff>
      <xdr:row>62</xdr:row>
      <xdr:rowOff>100062</xdr:rowOff>
    </xdr:to>
    <xdr:pic>
      <xdr:nvPicPr>
        <xdr:cNvPr id="29" name="Picture 28">
          <a:extLst>
            <a:ext uri="{FF2B5EF4-FFF2-40B4-BE49-F238E27FC236}">
              <a16:creationId xmlns:a16="http://schemas.microsoft.com/office/drawing/2014/main" id="{3ACA4A32-F4BE-B80E-ECBD-BE04E51E22B0}"/>
            </a:ext>
          </a:extLst>
        </xdr:cNvPr>
        <xdr:cNvPicPr>
          <a:picLocks noChangeAspect="1"/>
        </xdr:cNvPicPr>
      </xdr:nvPicPr>
      <xdr:blipFill>
        <a:blip xmlns:r="http://schemas.openxmlformats.org/officeDocument/2006/relationships" r:embed="rId11"/>
        <a:stretch>
          <a:fillRect/>
        </a:stretch>
      </xdr:blipFill>
      <xdr:spPr>
        <a:xfrm>
          <a:off x="38485" y="8813030"/>
          <a:ext cx="2293697" cy="3163456"/>
        </a:xfrm>
        <a:prstGeom prst="roundRect">
          <a:avLst>
            <a:gd name="adj" fmla="val 11111"/>
          </a:avLst>
        </a:prstGeom>
        <a:ln w="190500" cap="rnd">
          <a:solidFill>
            <a:srgbClr val="C8C6BD"/>
          </a:solidFill>
          <a:prstDash val="solid"/>
        </a:ln>
        <a:effectLst>
          <a:glow rad="63500">
            <a:schemeClr val="accent6">
              <a:satMod val="175000"/>
              <a:alpha val="40000"/>
            </a:schemeClr>
          </a:glow>
          <a:outerShdw blurRad="101600" dist="50800" dir="7200000" algn="tl" rotWithShape="0">
            <a:srgbClr val="000000">
              <a:alpha val="45000"/>
            </a:srgbClr>
          </a:outerShdw>
        </a:effectLst>
        <a:scene3d>
          <a:camera prst="perspectiveFront" fov="5400000"/>
          <a:lightRig rig="threePt" dir="t">
            <a:rot lat="0" lon="0" rev="19200000"/>
          </a:lightRig>
        </a:scene3d>
        <a:sp3d extrusionH="25400">
          <a:bevelT w="304800" h="152400" prst="relaxedInset"/>
          <a:extrusionClr>
            <a:srgbClr val="FFFFFF"/>
          </a:extrusionClr>
        </a:sp3d>
      </xdr:spPr>
    </xdr:pic>
    <xdr:clientData/>
  </xdr:twoCellAnchor>
  <xdr:twoCellAnchor editAs="oneCell">
    <xdr:from>
      <xdr:col>0</xdr:col>
      <xdr:colOff>7698</xdr:colOff>
      <xdr:row>64</xdr:row>
      <xdr:rowOff>84666</xdr:rowOff>
    </xdr:from>
    <xdr:to>
      <xdr:col>3</xdr:col>
      <xdr:colOff>546485</xdr:colOff>
      <xdr:row>81</xdr:row>
      <xdr:rowOff>115455</xdr:rowOff>
    </xdr:to>
    <xdr:pic>
      <xdr:nvPicPr>
        <xdr:cNvPr id="30" name="Picture 29">
          <a:extLst>
            <a:ext uri="{FF2B5EF4-FFF2-40B4-BE49-F238E27FC236}">
              <a16:creationId xmlns:a16="http://schemas.microsoft.com/office/drawing/2014/main" id="{97A7BDE6-D6A4-99AB-C10A-F74CA5AC2770}"/>
            </a:ext>
          </a:extLst>
        </xdr:cNvPr>
        <xdr:cNvPicPr>
          <a:picLocks noChangeAspect="1"/>
        </xdr:cNvPicPr>
      </xdr:nvPicPr>
      <xdr:blipFill>
        <a:blip xmlns:r="http://schemas.openxmlformats.org/officeDocument/2006/relationships" r:embed="rId12"/>
        <a:stretch>
          <a:fillRect/>
        </a:stretch>
      </xdr:blipFill>
      <xdr:spPr>
        <a:xfrm>
          <a:off x="7698" y="12330545"/>
          <a:ext cx="2362969" cy="3171152"/>
        </a:xfrm>
        <a:prstGeom prst="roundRect">
          <a:avLst>
            <a:gd name="adj" fmla="val 11111"/>
          </a:avLst>
        </a:prstGeom>
        <a:ln w="190500" cap="rnd">
          <a:solidFill>
            <a:srgbClr val="C8C6BD"/>
          </a:solidFill>
          <a:prstDash val="solid"/>
        </a:ln>
        <a:effectLst>
          <a:glow rad="63500">
            <a:schemeClr val="accent6">
              <a:satMod val="175000"/>
              <a:alpha val="40000"/>
            </a:schemeClr>
          </a:glow>
          <a:outerShdw blurRad="101600" dist="50800" dir="7200000" algn="tl" rotWithShape="0">
            <a:srgbClr val="000000">
              <a:alpha val="45000"/>
            </a:srgbClr>
          </a:outerShdw>
        </a:effectLst>
        <a:scene3d>
          <a:camera prst="perspectiveFront" fov="5400000"/>
          <a:lightRig rig="threePt" dir="t">
            <a:rot lat="0" lon="0" rev="19200000"/>
          </a:lightRig>
        </a:scene3d>
        <a:sp3d extrusionH="25400">
          <a:bevelT w="304800" h="152400" prst="relaxedInset"/>
          <a:extrusionClr>
            <a:srgbClr val="FFFFFF"/>
          </a:extrusionClr>
        </a:sp3d>
      </xdr:spPr>
    </xdr:pic>
    <xdr:clientData/>
  </xdr:twoCellAnchor>
  <xdr:twoCellAnchor editAs="oneCell">
    <xdr:from>
      <xdr:col>24</xdr:col>
      <xdr:colOff>7697</xdr:colOff>
      <xdr:row>8</xdr:row>
      <xdr:rowOff>30789</xdr:rowOff>
    </xdr:from>
    <xdr:to>
      <xdr:col>27</xdr:col>
      <xdr:colOff>12316</xdr:colOff>
      <xdr:row>15</xdr:row>
      <xdr:rowOff>92364</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D5781372-02E3-4229-8AC2-0A37A36C0A6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866697" y="1840539"/>
              <a:ext cx="1861994" cy="1466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18241</xdr:colOff>
      <xdr:row>18</xdr:row>
      <xdr:rowOff>10545</xdr:rowOff>
    </xdr:from>
    <xdr:to>
      <xdr:col>27</xdr:col>
      <xdr:colOff>22860</xdr:colOff>
      <xdr:row>25</xdr:row>
      <xdr:rowOff>169333</xdr:rowOff>
    </xdr:to>
    <mc:AlternateContent xmlns:mc="http://schemas.openxmlformats.org/markup-compatibility/2006" xmlns:a14="http://schemas.microsoft.com/office/drawing/2010/main">
      <mc:Choice Requires="a14">
        <xdr:graphicFrame macro="">
          <xdr:nvGraphicFramePr>
            <xdr:cNvPr id="12" name="Disease_Status">
              <a:extLst>
                <a:ext uri="{FF2B5EF4-FFF2-40B4-BE49-F238E27FC236}">
                  <a16:creationId xmlns:a16="http://schemas.microsoft.com/office/drawing/2014/main" id="{02FDBCDF-90A0-48F2-A665-1935510F7EF3}"/>
                </a:ext>
              </a:extLst>
            </xdr:cNvPr>
            <xdr:cNvGraphicFramePr/>
          </xdr:nvGraphicFramePr>
          <xdr:xfrm>
            <a:off x="0" y="0"/>
            <a:ext cx="0" cy="0"/>
          </xdr:xfrm>
          <a:graphic>
            <a:graphicData uri="http://schemas.microsoft.com/office/drawing/2010/slicer">
              <sle:slicer xmlns:sle="http://schemas.microsoft.com/office/drawing/2010/slicer" name="Disease_Status"/>
            </a:graphicData>
          </a:graphic>
        </xdr:graphicFrame>
      </mc:Choice>
      <mc:Fallback xmlns="">
        <xdr:sp macro="" textlink="">
          <xdr:nvSpPr>
            <xdr:cNvPr id="0" name=""/>
            <xdr:cNvSpPr>
              <a:spLocks noTextEdit="1"/>
            </xdr:cNvSpPr>
          </xdr:nvSpPr>
          <xdr:spPr>
            <a:xfrm>
              <a:off x="14877241" y="3796733"/>
              <a:ext cx="1861994" cy="1492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12163</xdr:colOff>
      <xdr:row>44</xdr:row>
      <xdr:rowOff>13395</xdr:rowOff>
    </xdr:from>
    <xdr:to>
      <xdr:col>27</xdr:col>
      <xdr:colOff>16782</xdr:colOff>
      <xdr:row>54</xdr:row>
      <xdr:rowOff>138547</xdr:rowOff>
    </xdr:to>
    <mc:AlternateContent xmlns:mc="http://schemas.openxmlformats.org/markup-compatibility/2006" xmlns:a14="http://schemas.microsoft.com/office/drawing/2010/main">
      <mc:Choice Requires="a14">
        <xdr:graphicFrame macro="">
          <xdr:nvGraphicFramePr>
            <xdr:cNvPr id="16" name="Chest_Pain_Type">
              <a:extLst>
                <a:ext uri="{FF2B5EF4-FFF2-40B4-BE49-F238E27FC236}">
                  <a16:creationId xmlns:a16="http://schemas.microsoft.com/office/drawing/2014/main" id="{1148C5EC-9C54-4EDB-993A-732300CC728B}"/>
                </a:ext>
              </a:extLst>
            </xdr:cNvPr>
            <xdr:cNvGraphicFramePr/>
          </xdr:nvGraphicFramePr>
          <xdr:xfrm>
            <a:off x="0" y="0"/>
            <a:ext cx="0" cy="0"/>
          </xdr:xfrm>
          <a:graphic>
            <a:graphicData uri="http://schemas.microsoft.com/office/drawing/2010/slicer">
              <sle:slicer xmlns:sle="http://schemas.microsoft.com/office/drawing/2010/slicer" name="Chest_Pain_Type"/>
            </a:graphicData>
          </a:graphic>
        </xdr:graphicFrame>
      </mc:Choice>
      <mc:Fallback xmlns="">
        <xdr:sp macro="" textlink="">
          <xdr:nvSpPr>
            <xdr:cNvPr id="0" name=""/>
            <xdr:cNvSpPr>
              <a:spLocks noTextEdit="1"/>
            </xdr:cNvSpPr>
          </xdr:nvSpPr>
          <xdr:spPr>
            <a:xfrm>
              <a:off x="14871163" y="8752583"/>
              <a:ext cx="1861994" cy="2030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15010</xdr:colOff>
      <xdr:row>29</xdr:row>
      <xdr:rowOff>16241</xdr:rowOff>
    </xdr:from>
    <xdr:to>
      <xdr:col>27</xdr:col>
      <xdr:colOff>19629</xdr:colOff>
      <xdr:row>40</xdr:row>
      <xdr:rowOff>169333</xdr:rowOff>
    </xdr:to>
    <mc:AlternateContent xmlns:mc="http://schemas.openxmlformats.org/markup-compatibility/2006" xmlns:a14="http://schemas.microsoft.com/office/drawing/2010/main">
      <mc:Choice Requires="a14">
        <xdr:graphicFrame macro="">
          <xdr:nvGraphicFramePr>
            <xdr:cNvPr id="18" name="Age_Group">
              <a:extLst>
                <a:ext uri="{FF2B5EF4-FFF2-40B4-BE49-F238E27FC236}">
                  <a16:creationId xmlns:a16="http://schemas.microsoft.com/office/drawing/2014/main" id="{EF8D3BF2-2007-4661-A997-AC92C2F551BF}"/>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4874010" y="5897929"/>
              <a:ext cx="1861994" cy="2248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10161</xdr:colOff>
      <xdr:row>70</xdr:row>
      <xdr:rowOff>111455</xdr:rowOff>
    </xdr:from>
    <xdr:to>
      <xdr:col>27</xdr:col>
      <xdr:colOff>14780</xdr:colOff>
      <xdr:row>81</xdr:row>
      <xdr:rowOff>146243</xdr:rowOff>
    </xdr:to>
    <mc:AlternateContent xmlns:mc="http://schemas.openxmlformats.org/markup-compatibility/2006" xmlns:a14="http://schemas.microsoft.com/office/drawing/2010/main">
      <mc:Choice Requires="a14">
        <xdr:graphicFrame macro="">
          <xdr:nvGraphicFramePr>
            <xdr:cNvPr id="25" name="BP_Category">
              <a:extLst>
                <a:ext uri="{FF2B5EF4-FFF2-40B4-BE49-F238E27FC236}">
                  <a16:creationId xmlns:a16="http://schemas.microsoft.com/office/drawing/2014/main" id="{A18912C4-3EB4-4A52-90C9-F710FD653C7F}"/>
                </a:ext>
              </a:extLst>
            </xdr:cNvPr>
            <xdr:cNvGraphicFramePr/>
          </xdr:nvGraphicFramePr>
          <xdr:xfrm>
            <a:off x="0" y="0"/>
            <a:ext cx="0" cy="0"/>
          </xdr:xfrm>
          <a:graphic>
            <a:graphicData uri="http://schemas.microsoft.com/office/drawing/2010/slicer">
              <sle:slicer xmlns:sle="http://schemas.microsoft.com/office/drawing/2010/slicer" name="BP_Category"/>
            </a:graphicData>
          </a:graphic>
        </xdr:graphicFrame>
      </mc:Choice>
      <mc:Fallback xmlns="">
        <xdr:sp macro="" textlink="">
          <xdr:nvSpPr>
            <xdr:cNvPr id="0" name=""/>
            <xdr:cNvSpPr>
              <a:spLocks noTextEdit="1"/>
            </xdr:cNvSpPr>
          </xdr:nvSpPr>
          <xdr:spPr>
            <a:xfrm>
              <a:off x="14869161" y="13803643"/>
              <a:ext cx="1861994" cy="2130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592667</xdr:colOff>
      <xdr:row>58</xdr:row>
      <xdr:rowOff>15396</xdr:rowOff>
    </xdr:from>
    <xdr:to>
      <xdr:col>26</xdr:col>
      <xdr:colOff>597285</xdr:colOff>
      <xdr:row>67</xdr:row>
      <xdr:rowOff>177030</xdr:rowOff>
    </xdr:to>
    <mc:AlternateContent xmlns:mc="http://schemas.openxmlformats.org/markup-compatibility/2006" xmlns:a14="http://schemas.microsoft.com/office/drawing/2010/main">
      <mc:Choice Requires="a14">
        <xdr:graphicFrame macro="">
          <xdr:nvGraphicFramePr>
            <xdr:cNvPr id="28" name="sex">
              <a:extLst>
                <a:ext uri="{FF2B5EF4-FFF2-40B4-BE49-F238E27FC236}">
                  <a16:creationId xmlns:a16="http://schemas.microsoft.com/office/drawing/2014/main" id="{53B5CE55-436A-4170-8585-1B599EF0B92C}"/>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4832542" y="11421584"/>
              <a:ext cx="1861993" cy="1876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Mishra" refreshedDate="46229.992735069442" createdVersion="8" refreshedVersion="8" minRefreshableVersion="3" recordCount="1027" xr:uid="{C99B6394-702E-4E6F-B348-FF86591F2C57}">
  <cacheSource type="worksheet">
    <worksheetSource name="BP_DATA"/>
  </cacheSource>
  <cacheFields count="21">
    <cacheField name="age" numFmtId="0">
      <sharedItems containsString="0" containsBlank="1" containsNumber="1" containsInteger="1" minValue="29" maxValue="77"/>
    </cacheField>
    <cacheField name="sex" numFmtId="0">
      <sharedItems containsString="0" containsBlank="1" containsNumber="1" containsInteger="1" minValue="0" maxValue="1" count="3">
        <n v="1"/>
        <n v="0"/>
        <m/>
      </sharedItems>
    </cacheField>
    <cacheField name="cp" numFmtId="0">
      <sharedItems containsString="0" containsBlank="1" containsNumber="1" containsInteger="1" minValue="0" maxValue="3"/>
    </cacheField>
    <cacheField name="trestbps" numFmtId="0">
      <sharedItems containsString="0" containsBlank="1" containsNumber="1" containsInteger="1" minValue="94" maxValue="200"/>
    </cacheField>
    <cacheField name="chol" numFmtId="0">
      <sharedItems containsString="0" containsBlank="1" containsNumber="1" containsInteger="1" minValue="126" maxValue="564"/>
    </cacheField>
    <cacheField name="fbs" numFmtId="0">
      <sharedItems containsString="0" containsBlank="1" containsNumber="1" containsInteger="1" minValue="0" maxValue="1"/>
    </cacheField>
    <cacheField name="restecg" numFmtId="0">
      <sharedItems containsString="0" containsBlank="1" containsNumber="1" containsInteger="1" minValue="0" maxValue="2"/>
    </cacheField>
    <cacheField name="thalach" numFmtId="0">
      <sharedItems containsString="0" containsBlank="1" containsNumber="1" containsInteger="1" minValue="71" maxValue="202"/>
    </cacheField>
    <cacheField name="exang" numFmtId="0">
      <sharedItems containsString="0" containsBlank="1" containsNumber="1" containsInteger="1" minValue="0" maxValue="1"/>
    </cacheField>
    <cacheField name="oldpeak" numFmtId="0">
      <sharedItems containsString="0" containsBlank="1" containsNumber="1" minValue="0" maxValue="6.2"/>
    </cacheField>
    <cacheField name="slope" numFmtId="0">
      <sharedItems containsString="0" containsBlank="1" containsNumber="1" containsInteger="1" minValue="0" maxValue="2"/>
    </cacheField>
    <cacheField name="ca" numFmtId="0">
      <sharedItems containsString="0" containsBlank="1" containsNumber="1" containsInteger="1" minValue="0" maxValue="4"/>
    </cacheField>
    <cacheField name="thal" numFmtId="0">
      <sharedItems containsString="0" containsBlank="1" containsNumber="1" containsInteger="1" minValue="0" maxValue="3"/>
    </cacheField>
    <cacheField name="target" numFmtId="0">
      <sharedItems containsString="0" containsBlank="1" containsNumber="1" containsInteger="1" minValue="0" maxValue="1"/>
    </cacheField>
    <cacheField name="Gender" numFmtId="0">
      <sharedItems count="2">
        <s v="Male"/>
        <s v="Female"/>
      </sharedItems>
    </cacheField>
    <cacheField name="Disease_Status" numFmtId="0">
      <sharedItems count="2">
        <s v="No Disease"/>
        <s v="Heart Disease"/>
      </sharedItems>
    </cacheField>
    <cacheField name="Chest_Pain_Type" numFmtId="0">
      <sharedItems count="4">
        <s v="Typical Angina"/>
        <s v="Atypical Angina"/>
        <s v="Non-Anginal Pain"/>
        <s v="Asymptomatic"/>
      </sharedItems>
    </cacheField>
    <cacheField name="Fasting Blood Sugar" numFmtId="0">
      <sharedItems/>
    </cacheField>
    <cacheField name="Exercise_Angina" numFmtId="0">
      <sharedItems count="2">
        <s v="No"/>
        <s v="Yes"/>
      </sharedItems>
    </cacheField>
    <cacheField name="Age_Group" numFmtId="0">
      <sharedItems count="5">
        <s v="50-59"/>
        <s v="60+"/>
        <s v="40-49"/>
        <s v="30-39"/>
        <s v="18-29"/>
      </sharedItems>
    </cacheField>
    <cacheField name="BP_Category" numFmtId="0">
      <sharedItems count="4">
        <s v="Elevated"/>
        <s v="High (Stage 2)"/>
        <s v="High (Stage 1)"/>
        <s v="Normal"/>
      </sharedItems>
    </cacheField>
  </cacheFields>
  <extLst>
    <ext xmlns:x14="http://schemas.microsoft.com/office/spreadsheetml/2009/9/main" uri="{725AE2AE-9491-48be-B2B4-4EB974FC3084}">
      <x14:pivotCacheDefinition pivotCacheId="1032502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n v="52"/>
    <x v="0"/>
    <n v="0"/>
    <n v="125"/>
    <n v="212"/>
    <n v="0"/>
    <n v="1"/>
    <n v="168"/>
    <n v="0"/>
    <n v="1"/>
    <n v="2"/>
    <n v="2"/>
    <n v="3"/>
    <n v="0"/>
    <x v="0"/>
    <x v="0"/>
    <x v="0"/>
    <s v="Normal"/>
    <x v="0"/>
    <x v="0"/>
    <x v="0"/>
  </r>
  <r>
    <n v="53"/>
    <x v="0"/>
    <n v="0"/>
    <n v="140"/>
    <n v="203"/>
    <n v="1"/>
    <n v="0"/>
    <n v="155"/>
    <n v="1"/>
    <n v="3.1"/>
    <n v="0"/>
    <n v="0"/>
    <n v="3"/>
    <n v="0"/>
    <x v="0"/>
    <x v="0"/>
    <x v="0"/>
    <s v="High"/>
    <x v="1"/>
    <x v="0"/>
    <x v="1"/>
  </r>
  <r>
    <n v="70"/>
    <x v="0"/>
    <n v="0"/>
    <n v="145"/>
    <n v="174"/>
    <n v="0"/>
    <n v="1"/>
    <n v="125"/>
    <n v="1"/>
    <n v="2.6"/>
    <n v="0"/>
    <n v="0"/>
    <n v="3"/>
    <n v="0"/>
    <x v="0"/>
    <x v="0"/>
    <x v="0"/>
    <s v="Normal"/>
    <x v="1"/>
    <x v="0"/>
    <x v="1"/>
  </r>
  <r>
    <n v="61"/>
    <x v="0"/>
    <n v="0"/>
    <n v="148"/>
    <n v="203"/>
    <n v="0"/>
    <n v="1"/>
    <n v="161"/>
    <n v="0"/>
    <n v="0"/>
    <n v="2"/>
    <n v="1"/>
    <n v="3"/>
    <n v="0"/>
    <x v="0"/>
    <x v="0"/>
    <x v="0"/>
    <s v="Normal"/>
    <x v="0"/>
    <x v="1"/>
    <x v="1"/>
  </r>
  <r>
    <n v="62"/>
    <x v="1"/>
    <n v="0"/>
    <n v="138"/>
    <n v="294"/>
    <n v="1"/>
    <n v="1"/>
    <n v="106"/>
    <n v="0"/>
    <n v="1.9"/>
    <n v="1"/>
    <n v="3"/>
    <n v="2"/>
    <n v="0"/>
    <x v="1"/>
    <x v="0"/>
    <x v="0"/>
    <s v="High"/>
    <x v="0"/>
    <x v="1"/>
    <x v="2"/>
  </r>
  <r>
    <n v="58"/>
    <x v="1"/>
    <n v="0"/>
    <n v="100"/>
    <n v="248"/>
    <n v="0"/>
    <n v="0"/>
    <n v="122"/>
    <n v="0"/>
    <n v="1"/>
    <n v="1"/>
    <n v="0"/>
    <n v="2"/>
    <n v="1"/>
    <x v="1"/>
    <x v="1"/>
    <x v="0"/>
    <s v="Normal"/>
    <x v="0"/>
    <x v="1"/>
    <x v="3"/>
  </r>
  <r>
    <n v="58"/>
    <x v="0"/>
    <n v="0"/>
    <n v="114"/>
    <n v="318"/>
    <n v="0"/>
    <n v="2"/>
    <n v="140"/>
    <n v="0"/>
    <n v="4.4000000000000004"/>
    <n v="0"/>
    <n v="3"/>
    <n v="1"/>
    <n v="0"/>
    <x v="0"/>
    <x v="0"/>
    <x v="0"/>
    <s v="Normal"/>
    <x v="0"/>
    <x v="0"/>
    <x v="3"/>
  </r>
  <r>
    <n v="55"/>
    <x v="0"/>
    <n v="0"/>
    <n v="160"/>
    <n v="289"/>
    <n v="0"/>
    <n v="0"/>
    <n v="145"/>
    <n v="1"/>
    <n v="0.8"/>
    <n v="1"/>
    <n v="1"/>
    <n v="3"/>
    <n v="0"/>
    <x v="0"/>
    <x v="0"/>
    <x v="0"/>
    <s v="Normal"/>
    <x v="1"/>
    <x v="0"/>
    <x v="1"/>
  </r>
  <r>
    <n v="46"/>
    <x v="0"/>
    <n v="0"/>
    <n v="120"/>
    <n v="249"/>
    <n v="0"/>
    <n v="0"/>
    <n v="144"/>
    <n v="0"/>
    <n v="0.8"/>
    <n v="2"/>
    <n v="0"/>
    <n v="3"/>
    <n v="0"/>
    <x v="0"/>
    <x v="0"/>
    <x v="0"/>
    <s v="Normal"/>
    <x v="0"/>
    <x v="0"/>
    <x v="0"/>
  </r>
  <r>
    <n v="54"/>
    <x v="0"/>
    <n v="0"/>
    <n v="122"/>
    <n v="286"/>
    <n v="0"/>
    <n v="0"/>
    <n v="116"/>
    <n v="1"/>
    <n v="3.2"/>
    <n v="1"/>
    <n v="2"/>
    <n v="2"/>
    <n v="0"/>
    <x v="0"/>
    <x v="0"/>
    <x v="0"/>
    <s v="Normal"/>
    <x v="1"/>
    <x v="2"/>
    <x v="0"/>
  </r>
  <r>
    <n v="71"/>
    <x v="1"/>
    <n v="0"/>
    <n v="112"/>
    <n v="149"/>
    <n v="0"/>
    <n v="1"/>
    <n v="125"/>
    <n v="0"/>
    <n v="1.6"/>
    <n v="1"/>
    <n v="0"/>
    <n v="2"/>
    <n v="1"/>
    <x v="1"/>
    <x v="1"/>
    <x v="0"/>
    <s v="Normal"/>
    <x v="0"/>
    <x v="0"/>
    <x v="3"/>
  </r>
  <r>
    <n v="43"/>
    <x v="1"/>
    <n v="0"/>
    <n v="132"/>
    <n v="341"/>
    <n v="1"/>
    <n v="0"/>
    <n v="136"/>
    <n v="1"/>
    <n v="3"/>
    <n v="1"/>
    <n v="0"/>
    <n v="3"/>
    <n v="0"/>
    <x v="1"/>
    <x v="0"/>
    <x v="0"/>
    <s v="High"/>
    <x v="1"/>
    <x v="1"/>
    <x v="2"/>
  </r>
  <r>
    <n v="34"/>
    <x v="1"/>
    <n v="1"/>
    <n v="118"/>
    <n v="210"/>
    <n v="0"/>
    <n v="1"/>
    <n v="192"/>
    <n v="0"/>
    <n v="0.7"/>
    <n v="2"/>
    <n v="0"/>
    <n v="2"/>
    <n v="1"/>
    <x v="1"/>
    <x v="1"/>
    <x v="1"/>
    <s v="Normal"/>
    <x v="0"/>
    <x v="2"/>
    <x v="3"/>
  </r>
  <r>
    <n v="51"/>
    <x v="0"/>
    <n v="0"/>
    <n v="140"/>
    <n v="298"/>
    <n v="0"/>
    <n v="1"/>
    <n v="122"/>
    <n v="1"/>
    <n v="4.2"/>
    <n v="1"/>
    <n v="3"/>
    <n v="3"/>
    <n v="0"/>
    <x v="0"/>
    <x v="0"/>
    <x v="0"/>
    <s v="Normal"/>
    <x v="1"/>
    <x v="3"/>
    <x v="1"/>
  </r>
  <r>
    <n v="52"/>
    <x v="0"/>
    <n v="0"/>
    <n v="128"/>
    <n v="204"/>
    <n v="1"/>
    <n v="1"/>
    <n v="156"/>
    <n v="1"/>
    <n v="1"/>
    <n v="1"/>
    <n v="0"/>
    <n v="0"/>
    <n v="0"/>
    <x v="0"/>
    <x v="0"/>
    <x v="0"/>
    <s v="High"/>
    <x v="1"/>
    <x v="0"/>
    <x v="0"/>
  </r>
  <r>
    <n v="34"/>
    <x v="1"/>
    <n v="1"/>
    <n v="118"/>
    <n v="210"/>
    <n v="0"/>
    <n v="1"/>
    <n v="192"/>
    <n v="0"/>
    <n v="0.7"/>
    <n v="2"/>
    <n v="0"/>
    <n v="2"/>
    <n v="1"/>
    <x v="1"/>
    <x v="1"/>
    <x v="1"/>
    <s v="Normal"/>
    <x v="0"/>
    <x v="0"/>
    <x v="3"/>
  </r>
  <r>
    <n v="51"/>
    <x v="1"/>
    <n v="2"/>
    <n v="140"/>
    <n v="308"/>
    <n v="0"/>
    <n v="0"/>
    <n v="142"/>
    <n v="0"/>
    <n v="1.5"/>
    <n v="2"/>
    <n v="1"/>
    <n v="2"/>
    <n v="1"/>
    <x v="1"/>
    <x v="1"/>
    <x v="2"/>
    <s v="Normal"/>
    <x v="0"/>
    <x v="3"/>
    <x v="1"/>
  </r>
  <r>
    <n v="54"/>
    <x v="0"/>
    <n v="0"/>
    <n v="124"/>
    <n v="266"/>
    <n v="0"/>
    <n v="0"/>
    <n v="109"/>
    <n v="1"/>
    <n v="2.2000000000000002"/>
    <n v="1"/>
    <n v="1"/>
    <n v="3"/>
    <n v="0"/>
    <x v="0"/>
    <x v="0"/>
    <x v="0"/>
    <s v="Normal"/>
    <x v="1"/>
    <x v="0"/>
    <x v="0"/>
  </r>
  <r>
    <n v="50"/>
    <x v="1"/>
    <n v="1"/>
    <n v="120"/>
    <n v="244"/>
    <n v="0"/>
    <n v="1"/>
    <n v="162"/>
    <n v="0"/>
    <n v="1.1000000000000001"/>
    <n v="2"/>
    <n v="0"/>
    <n v="2"/>
    <n v="1"/>
    <x v="1"/>
    <x v="1"/>
    <x v="1"/>
    <s v="Normal"/>
    <x v="0"/>
    <x v="0"/>
    <x v="0"/>
  </r>
  <r>
    <n v="58"/>
    <x v="0"/>
    <n v="2"/>
    <n v="140"/>
    <n v="211"/>
    <n v="1"/>
    <n v="0"/>
    <n v="165"/>
    <n v="0"/>
    <n v="0"/>
    <n v="2"/>
    <n v="0"/>
    <n v="2"/>
    <n v="1"/>
    <x v="0"/>
    <x v="1"/>
    <x v="2"/>
    <s v="High"/>
    <x v="0"/>
    <x v="0"/>
    <x v="1"/>
  </r>
  <r>
    <n v="60"/>
    <x v="0"/>
    <n v="2"/>
    <n v="140"/>
    <n v="185"/>
    <n v="0"/>
    <n v="0"/>
    <n v="155"/>
    <n v="0"/>
    <n v="3"/>
    <n v="1"/>
    <n v="0"/>
    <n v="2"/>
    <n v="0"/>
    <x v="0"/>
    <x v="0"/>
    <x v="2"/>
    <s v="Normal"/>
    <x v="0"/>
    <x v="0"/>
    <x v="1"/>
  </r>
  <r>
    <n v="67"/>
    <x v="1"/>
    <n v="0"/>
    <n v="106"/>
    <n v="223"/>
    <n v="0"/>
    <n v="1"/>
    <n v="142"/>
    <n v="0"/>
    <n v="0.3"/>
    <n v="2"/>
    <n v="2"/>
    <n v="2"/>
    <n v="1"/>
    <x v="1"/>
    <x v="1"/>
    <x v="0"/>
    <s v="Normal"/>
    <x v="0"/>
    <x v="1"/>
    <x v="3"/>
  </r>
  <r>
    <n v="45"/>
    <x v="0"/>
    <n v="0"/>
    <n v="104"/>
    <n v="208"/>
    <n v="0"/>
    <n v="0"/>
    <n v="148"/>
    <n v="1"/>
    <n v="3"/>
    <n v="1"/>
    <n v="0"/>
    <n v="2"/>
    <n v="1"/>
    <x v="0"/>
    <x v="1"/>
    <x v="0"/>
    <s v="Normal"/>
    <x v="1"/>
    <x v="1"/>
    <x v="3"/>
  </r>
  <r>
    <n v="63"/>
    <x v="1"/>
    <n v="2"/>
    <n v="135"/>
    <n v="252"/>
    <n v="0"/>
    <n v="0"/>
    <n v="172"/>
    <n v="0"/>
    <n v="0"/>
    <n v="2"/>
    <n v="0"/>
    <n v="2"/>
    <n v="1"/>
    <x v="1"/>
    <x v="1"/>
    <x v="2"/>
    <s v="Normal"/>
    <x v="0"/>
    <x v="2"/>
    <x v="2"/>
  </r>
  <r>
    <n v="42"/>
    <x v="1"/>
    <n v="2"/>
    <n v="120"/>
    <n v="209"/>
    <n v="0"/>
    <n v="1"/>
    <n v="173"/>
    <n v="0"/>
    <n v="0"/>
    <n v="1"/>
    <n v="0"/>
    <n v="2"/>
    <n v="1"/>
    <x v="1"/>
    <x v="1"/>
    <x v="2"/>
    <s v="Normal"/>
    <x v="0"/>
    <x v="1"/>
    <x v="0"/>
  </r>
  <r>
    <n v="61"/>
    <x v="1"/>
    <n v="0"/>
    <n v="145"/>
    <n v="307"/>
    <n v="0"/>
    <n v="0"/>
    <n v="146"/>
    <n v="1"/>
    <n v="1"/>
    <n v="1"/>
    <n v="0"/>
    <n v="3"/>
    <n v="0"/>
    <x v="1"/>
    <x v="0"/>
    <x v="0"/>
    <s v="Normal"/>
    <x v="1"/>
    <x v="2"/>
    <x v="1"/>
  </r>
  <r>
    <n v="44"/>
    <x v="0"/>
    <n v="2"/>
    <n v="130"/>
    <n v="233"/>
    <n v="0"/>
    <n v="1"/>
    <n v="179"/>
    <n v="1"/>
    <n v="0.4"/>
    <n v="2"/>
    <n v="0"/>
    <n v="2"/>
    <n v="1"/>
    <x v="0"/>
    <x v="1"/>
    <x v="2"/>
    <s v="Normal"/>
    <x v="1"/>
    <x v="1"/>
    <x v="2"/>
  </r>
  <r>
    <n v="58"/>
    <x v="1"/>
    <n v="1"/>
    <n v="136"/>
    <n v="319"/>
    <n v="1"/>
    <n v="0"/>
    <n v="152"/>
    <n v="0"/>
    <n v="0"/>
    <n v="2"/>
    <n v="2"/>
    <n v="2"/>
    <n v="0"/>
    <x v="1"/>
    <x v="0"/>
    <x v="1"/>
    <s v="High"/>
    <x v="0"/>
    <x v="2"/>
    <x v="2"/>
  </r>
  <r>
    <n v="56"/>
    <x v="0"/>
    <n v="2"/>
    <n v="130"/>
    <n v="256"/>
    <n v="1"/>
    <n v="0"/>
    <n v="142"/>
    <n v="1"/>
    <n v="0.6"/>
    <n v="1"/>
    <n v="1"/>
    <n v="1"/>
    <n v="0"/>
    <x v="0"/>
    <x v="0"/>
    <x v="2"/>
    <s v="High"/>
    <x v="1"/>
    <x v="0"/>
    <x v="2"/>
  </r>
  <r>
    <n v="55"/>
    <x v="1"/>
    <n v="0"/>
    <n v="180"/>
    <n v="327"/>
    <n v="0"/>
    <n v="2"/>
    <n v="117"/>
    <n v="1"/>
    <n v="3.4"/>
    <n v="1"/>
    <n v="0"/>
    <n v="2"/>
    <n v="0"/>
    <x v="1"/>
    <x v="0"/>
    <x v="0"/>
    <s v="Normal"/>
    <x v="1"/>
    <x v="0"/>
    <x v="1"/>
  </r>
  <r>
    <n v="44"/>
    <x v="0"/>
    <n v="0"/>
    <n v="120"/>
    <n v="169"/>
    <n v="0"/>
    <n v="1"/>
    <n v="144"/>
    <n v="1"/>
    <n v="2.8"/>
    <n v="0"/>
    <n v="0"/>
    <n v="1"/>
    <n v="0"/>
    <x v="0"/>
    <x v="0"/>
    <x v="0"/>
    <s v="Normal"/>
    <x v="1"/>
    <x v="0"/>
    <x v="0"/>
  </r>
  <r>
    <n v="50"/>
    <x v="1"/>
    <n v="1"/>
    <n v="120"/>
    <n v="244"/>
    <n v="0"/>
    <n v="1"/>
    <n v="162"/>
    <n v="0"/>
    <n v="1.1000000000000001"/>
    <n v="2"/>
    <n v="0"/>
    <n v="2"/>
    <n v="1"/>
    <x v="1"/>
    <x v="1"/>
    <x v="1"/>
    <s v="Normal"/>
    <x v="0"/>
    <x v="2"/>
    <x v="0"/>
  </r>
  <r>
    <n v="57"/>
    <x v="0"/>
    <n v="0"/>
    <n v="130"/>
    <n v="131"/>
    <n v="0"/>
    <n v="1"/>
    <n v="115"/>
    <n v="1"/>
    <n v="1.2"/>
    <n v="1"/>
    <n v="1"/>
    <n v="3"/>
    <n v="0"/>
    <x v="0"/>
    <x v="0"/>
    <x v="0"/>
    <s v="Normal"/>
    <x v="1"/>
    <x v="0"/>
    <x v="2"/>
  </r>
  <r>
    <n v="70"/>
    <x v="0"/>
    <n v="2"/>
    <n v="160"/>
    <n v="269"/>
    <n v="0"/>
    <n v="1"/>
    <n v="112"/>
    <n v="1"/>
    <n v="2.9"/>
    <n v="1"/>
    <n v="1"/>
    <n v="3"/>
    <n v="0"/>
    <x v="0"/>
    <x v="0"/>
    <x v="2"/>
    <s v="Normal"/>
    <x v="1"/>
    <x v="0"/>
    <x v="1"/>
  </r>
  <r>
    <n v="50"/>
    <x v="0"/>
    <n v="2"/>
    <n v="129"/>
    <n v="196"/>
    <n v="0"/>
    <n v="1"/>
    <n v="163"/>
    <n v="0"/>
    <n v="0"/>
    <n v="2"/>
    <n v="0"/>
    <n v="2"/>
    <n v="1"/>
    <x v="0"/>
    <x v="1"/>
    <x v="2"/>
    <s v="Normal"/>
    <x v="0"/>
    <x v="1"/>
    <x v="0"/>
  </r>
  <r>
    <n v="46"/>
    <x v="0"/>
    <n v="2"/>
    <n v="150"/>
    <n v="231"/>
    <n v="0"/>
    <n v="1"/>
    <n v="147"/>
    <n v="0"/>
    <n v="3.6"/>
    <n v="1"/>
    <n v="0"/>
    <n v="2"/>
    <n v="0"/>
    <x v="0"/>
    <x v="0"/>
    <x v="2"/>
    <s v="Normal"/>
    <x v="0"/>
    <x v="0"/>
    <x v="1"/>
  </r>
  <r>
    <n v="51"/>
    <x v="0"/>
    <n v="3"/>
    <n v="125"/>
    <n v="213"/>
    <n v="0"/>
    <n v="0"/>
    <n v="125"/>
    <n v="1"/>
    <n v="1.4"/>
    <n v="2"/>
    <n v="1"/>
    <n v="2"/>
    <n v="1"/>
    <x v="0"/>
    <x v="1"/>
    <x v="3"/>
    <s v="Normal"/>
    <x v="1"/>
    <x v="2"/>
    <x v="0"/>
  </r>
  <r>
    <n v="59"/>
    <x v="0"/>
    <n v="0"/>
    <n v="138"/>
    <n v="271"/>
    <n v="0"/>
    <n v="0"/>
    <n v="182"/>
    <n v="0"/>
    <n v="0"/>
    <n v="2"/>
    <n v="0"/>
    <n v="2"/>
    <n v="1"/>
    <x v="0"/>
    <x v="1"/>
    <x v="0"/>
    <s v="Normal"/>
    <x v="0"/>
    <x v="0"/>
    <x v="2"/>
  </r>
  <r>
    <n v="64"/>
    <x v="0"/>
    <n v="0"/>
    <n v="128"/>
    <n v="263"/>
    <n v="0"/>
    <n v="1"/>
    <n v="105"/>
    <n v="1"/>
    <n v="0.2"/>
    <n v="1"/>
    <n v="1"/>
    <n v="3"/>
    <n v="1"/>
    <x v="0"/>
    <x v="1"/>
    <x v="0"/>
    <s v="Normal"/>
    <x v="1"/>
    <x v="0"/>
    <x v="0"/>
  </r>
  <r>
    <n v="57"/>
    <x v="0"/>
    <n v="2"/>
    <n v="128"/>
    <n v="229"/>
    <n v="0"/>
    <n v="0"/>
    <n v="150"/>
    <n v="0"/>
    <n v="0.4"/>
    <n v="1"/>
    <n v="1"/>
    <n v="3"/>
    <n v="0"/>
    <x v="0"/>
    <x v="0"/>
    <x v="2"/>
    <s v="Normal"/>
    <x v="0"/>
    <x v="1"/>
    <x v="0"/>
  </r>
  <r>
    <n v="65"/>
    <x v="1"/>
    <n v="2"/>
    <n v="160"/>
    <n v="360"/>
    <n v="0"/>
    <n v="0"/>
    <n v="151"/>
    <n v="0"/>
    <n v="0.8"/>
    <n v="2"/>
    <n v="0"/>
    <n v="2"/>
    <n v="1"/>
    <x v="1"/>
    <x v="1"/>
    <x v="2"/>
    <s v="Normal"/>
    <x v="0"/>
    <x v="0"/>
    <x v="1"/>
  </r>
  <r>
    <n v="54"/>
    <x v="0"/>
    <n v="2"/>
    <n v="120"/>
    <n v="258"/>
    <n v="0"/>
    <n v="0"/>
    <n v="147"/>
    <n v="0"/>
    <n v="0.4"/>
    <n v="1"/>
    <n v="0"/>
    <n v="3"/>
    <n v="1"/>
    <x v="0"/>
    <x v="1"/>
    <x v="2"/>
    <s v="Normal"/>
    <x v="0"/>
    <x v="1"/>
    <x v="0"/>
  </r>
  <r>
    <n v="61"/>
    <x v="1"/>
    <n v="0"/>
    <n v="130"/>
    <n v="330"/>
    <n v="0"/>
    <n v="0"/>
    <n v="169"/>
    <n v="0"/>
    <n v="0"/>
    <n v="2"/>
    <n v="0"/>
    <n v="2"/>
    <n v="0"/>
    <x v="1"/>
    <x v="0"/>
    <x v="0"/>
    <s v="Normal"/>
    <x v="0"/>
    <x v="0"/>
    <x v="2"/>
  </r>
  <r>
    <n v="46"/>
    <x v="0"/>
    <n v="0"/>
    <n v="120"/>
    <n v="249"/>
    <n v="0"/>
    <n v="0"/>
    <n v="144"/>
    <n v="0"/>
    <n v="0.8"/>
    <n v="2"/>
    <n v="0"/>
    <n v="3"/>
    <n v="0"/>
    <x v="0"/>
    <x v="0"/>
    <x v="0"/>
    <s v="Normal"/>
    <x v="0"/>
    <x v="1"/>
    <x v="0"/>
  </r>
  <r>
    <n v="55"/>
    <x v="1"/>
    <n v="1"/>
    <n v="132"/>
    <n v="342"/>
    <n v="0"/>
    <n v="1"/>
    <n v="166"/>
    <n v="0"/>
    <n v="1.2"/>
    <n v="2"/>
    <n v="0"/>
    <n v="2"/>
    <n v="1"/>
    <x v="1"/>
    <x v="1"/>
    <x v="1"/>
    <s v="Normal"/>
    <x v="0"/>
    <x v="2"/>
    <x v="2"/>
  </r>
  <r>
    <n v="42"/>
    <x v="0"/>
    <n v="0"/>
    <n v="140"/>
    <n v="226"/>
    <n v="0"/>
    <n v="1"/>
    <n v="178"/>
    <n v="0"/>
    <n v="0"/>
    <n v="2"/>
    <n v="0"/>
    <n v="2"/>
    <n v="1"/>
    <x v="0"/>
    <x v="1"/>
    <x v="0"/>
    <s v="Normal"/>
    <x v="0"/>
    <x v="0"/>
    <x v="1"/>
  </r>
  <r>
    <n v="41"/>
    <x v="0"/>
    <n v="1"/>
    <n v="135"/>
    <n v="203"/>
    <n v="0"/>
    <n v="1"/>
    <n v="132"/>
    <n v="0"/>
    <n v="0"/>
    <n v="1"/>
    <n v="0"/>
    <n v="1"/>
    <n v="1"/>
    <x v="0"/>
    <x v="1"/>
    <x v="1"/>
    <s v="Normal"/>
    <x v="0"/>
    <x v="2"/>
    <x v="2"/>
  </r>
  <r>
    <n v="66"/>
    <x v="1"/>
    <n v="0"/>
    <n v="178"/>
    <n v="228"/>
    <n v="1"/>
    <n v="1"/>
    <n v="165"/>
    <n v="1"/>
    <n v="1"/>
    <n v="1"/>
    <n v="2"/>
    <n v="3"/>
    <n v="0"/>
    <x v="1"/>
    <x v="0"/>
    <x v="0"/>
    <s v="High"/>
    <x v="1"/>
    <x v="2"/>
    <x v="1"/>
  </r>
  <r>
    <n v="66"/>
    <x v="1"/>
    <n v="2"/>
    <n v="146"/>
    <n v="278"/>
    <n v="0"/>
    <n v="0"/>
    <n v="152"/>
    <n v="0"/>
    <n v="0"/>
    <n v="1"/>
    <n v="1"/>
    <n v="2"/>
    <n v="1"/>
    <x v="1"/>
    <x v="1"/>
    <x v="2"/>
    <s v="Normal"/>
    <x v="0"/>
    <x v="1"/>
    <x v="1"/>
  </r>
  <r>
    <n v="60"/>
    <x v="0"/>
    <n v="0"/>
    <n v="117"/>
    <n v="230"/>
    <n v="1"/>
    <n v="1"/>
    <n v="160"/>
    <n v="1"/>
    <n v="1.4"/>
    <n v="2"/>
    <n v="2"/>
    <n v="3"/>
    <n v="0"/>
    <x v="0"/>
    <x v="0"/>
    <x v="0"/>
    <s v="High"/>
    <x v="1"/>
    <x v="1"/>
    <x v="3"/>
  </r>
  <r>
    <n v="58"/>
    <x v="1"/>
    <n v="3"/>
    <n v="150"/>
    <n v="283"/>
    <n v="1"/>
    <n v="0"/>
    <n v="162"/>
    <n v="0"/>
    <n v="1"/>
    <n v="2"/>
    <n v="0"/>
    <n v="2"/>
    <n v="1"/>
    <x v="1"/>
    <x v="1"/>
    <x v="3"/>
    <s v="High"/>
    <x v="0"/>
    <x v="1"/>
    <x v="1"/>
  </r>
  <r>
    <n v="57"/>
    <x v="1"/>
    <n v="0"/>
    <n v="140"/>
    <n v="241"/>
    <n v="0"/>
    <n v="1"/>
    <n v="123"/>
    <n v="1"/>
    <n v="0.2"/>
    <n v="1"/>
    <n v="0"/>
    <n v="3"/>
    <n v="0"/>
    <x v="1"/>
    <x v="0"/>
    <x v="0"/>
    <s v="Normal"/>
    <x v="1"/>
    <x v="0"/>
    <x v="1"/>
  </r>
  <r>
    <n v="38"/>
    <x v="0"/>
    <n v="2"/>
    <n v="138"/>
    <n v="175"/>
    <n v="0"/>
    <n v="1"/>
    <n v="173"/>
    <n v="0"/>
    <n v="0"/>
    <n v="2"/>
    <n v="4"/>
    <n v="2"/>
    <n v="1"/>
    <x v="0"/>
    <x v="1"/>
    <x v="2"/>
    <s v="Normal"/>
    <x v="0"/>
    <x v="0"/>
    <x v="2"/>
  </r>
  <r>
    <n v="49"/>
    <x v="0"/>
    <n v="2"/>
    <n v="120"/>
    <n v="188"/>
    <n v="0"/>
    <n v="1"/>
    <n v="139"/>
    <n v="0"/>
    <n v="2"/>
    <n v="1"/>
    <n v="3"/>
    <n v="3"/>
    <n v="0"/>
    <x v="0"/>
    <x v="0"/>
    <x v="2"/>
    <s v="Normal"/>
    <x v="0"/>
    <x v="3"/>
    <x v="0"/>
  </r>
  <r>
    <n v="55"/>
    <x v="0"/>
    <n v="0"/>
    <n v="140"/>
    <n v="217"/>
    <n v="0"/>
    <n v="1"/>
    <n v="111"/>
    <n v="1"/>
    <n v="5.6"/>
    <n v="0"/>
    <n v="0"/>
    <n v="3"/>
    <n v="0"/>
    <x v="0"/>
    <x v="0"/>
    <x v="0"/>
    <s v="Normal"/>
    <x v="1"/>
    <x v="2"/>
    <x v="1"/>
  </r>
  <r>
    <n v="55"/>
    <x v="0"/>
    <n v="0"/>
    <n v="140"/>
    <n v="217"/>
    <n v="0"/>
    <n v="1"/>
    <n v="111"/>
    <n v="1"/>
    <n v="5.6"/>
    <n v="0"/>
    <n v="0"/>
    <n v="3"/>
    <n v="0"/>
    <x v="0"/>
    <x v="0"/>
    <x v="0"/>
    <s v="Normal"/>
    <x v="1"/>
    <x v="0"/>
    <x v="1"/>
  </r>
  <r>
    <n v="56"/>
    <x v="0"/>
    <n v="3"/>
    <n v="120"/>
    <n v="193"/>
    <n v="0"/>
    <n v="0"/>
    <n v="162"/>
    <n v="0"/>
    <n v="1.9"/>
    <n v="1"/>
    <n v="0"/>
    <n v="3"/>
    <n v="1"/>
    <x v="0"/>
    <x v="1"/>
    <x v="3"/>
    <s v="Normal"/>
    <x v="0"/>
    <x v="0"/>
    <x v="0"/>
  </r>
  <r>
    <n v="48"/>
    <x v="0"/>
    <n v="1"/>
    <n v="130"/>
    <n v="245"/>
    <n v="0"/>
    <n v="0"/>
    <n v="180"/>
    <n v="0"/>
    <n v="0.2"/>
    <n v="1"/>
    <n v="0"/>
    <n v="2"/>
    <n v="1"/>
    <x v="0"/>
    <x v="1"/>
    <x v="1"/>
    <s v="Normal"/>
    <x v="0"/>
    <x v="0"/>
    <x v="2"/>
  </r>
  <r>
    <n v="67"/>
    <x v="0"/>
    <n v="2"/>
    <n v="152"/>
    <n v="212"/>
    <n v="0"/>
    <n v="0"/>
    <n v="150"/>
    <n v="0"/>
    <n v="0.8"/>
    <n v="1"/>
    <n v="0"/>
    <n v="3"/>
    <n v="0"/>
    <x v="0"/>
    <x v="0"/>
    <x v="2"/>
    <s v="Normal"/>
    <x v="0"/>
    <x v="2"/>
    <x v="1"/>
  </r>
  <r>
    <n v="57"/>
    <x v="0"/>
    <n v="1"/>
    <n v="154"/>
    <n v="232"/>
    <n v="0"/>
    <n v="0"/>
    <n v="164"/>
    <n v="0"/>
    <n v="0"/>
    <n v="2"/>
    <n v="1"/>
    <n v="2"/>
    <n v="0"/>
    <x v="0"/>
    <x v="0"/>
    <x v="1"/>
    <s v="Normal"/>
    <x v="0"/>
    <x v="1"/>
    <x v="1"/>
  </r>
  <r>
    <n v="29"/>
    <x v="0"/>
    <n v="1"/>
    <n v="130"/>
    <n v="204"/>
    <n v="0"/>
    <n v="0"/>
    <n v="202"/>
    <n v="0"/>
    <n v="0"/>
    <n v="2"/>
    <n v="0"/>
    <n v="2"/>
    <n v="1"/>
    <x v="0"/>
    <x v="1"/>
    <x v="1"/>
    <s v="Normal"/>
    <x v="0"/>
    <x v="0"/>
    <x v="2"/>
  </r>
  <r>
    <n v="66"/>
    <x v="1"/>
    <n v="2"/>
    <n v="146"/>
    <n v="278"/>
    <n v="0"/>
    <n v="0"/>
    <n v="152"/>
    <n v="0"/>
    <n v="0"/>
    <n v="1"/>
    <n v="1"/>
    <n v="2"/>
    <n v="1"/>
    <x v="1"/>
    <x v="1"/>
    <x v="2"/>
    <s v="Normal"/>
    <x v="0"/>
    <x v="4"/>
    <x v="1"/>
  </r>
  <r>
    <n v="67"/>
    <x v="0"/>
    <n v="0"/>
    <n v="100"/>
    <n v="299"/>
    <n v="0"/>
    <n v="0"/>
    <n v="125"/>
    <n v="1"/>
    <n v="0.9"/>
    <n v="1"/>
    <n v="2"/>
    <n v="2"/>
    <n v="0"/>
    <x v="0"/>
    <x v="0"/>
    <x v="0"/>
    <s v="Normal"/>
    <x v="1"/>
    <x v="1"/>
    <x v="3"/>
  </r>
  <r>
    <n v="59"/>
    <x v="0"/>
    <n v="2"/>
    <n v="150"/>
    <n v="212"/>
    <n v="1"/>
    <n v="1"/>
    <n v="157"/>
    <n v="0"/>
    <n v="1.6"/>
    <n v="2"/>
    <n v="0"/>
    <n v="2"/>
    <n v="1"/>
    <x v="0"/>
    <x v="1"/>
    <x v="2"/>
    <s v="High"/>
    <x v="0"/>
    <x v="1"/>
    <x v="1"/>
  </r>
  <r>
    <n v="29"/>
    <x v="0"/>
    <n v="1"/>
    <n v="130"/>
    <n v="204"/>
    <n v="0"/>
    <n v="0"/>
    <n v="202"/>
    <n v="0"/>
    <n v="0"/>
    <n v="2"/>
    <n v="0"/>
    <n v="2"/>
    <n v="1"/>
    <x v="0"/>
    <x v="1"/>
    <x v="1"/>
    <s v="Normal"/>
    <x v="0"/>
    <x v="0"/>
    <x v="2"/>
  </r>
  <r>
    <n v="59"/>
    <x v="0"/>
    <n v="3"/>
    <n v="170"/>
    <n v="288"/>
    <n v="0"/>
    <n v="0"/>
    <n v="159"/>
    <n v="0"/>
    <n v="0.2"/>
    <n v="1"/>
    <n v="0"/>
    <n v="3"/>
    <n v="0"/>
    <x v="0"/>
    <x v="0"/>
    <x v="3"/>
    <s v="Normal"/>
    <x v="0"/>
    <x v="4"/>
    <x v="1"/>
  </r>
  <r>
    <n v="53"/>
    <x v="0"/>
    <n v="2"/>
    <n v="130"/>
    <n v="197"/>
    <n v="1"/>
    <n v="0"/>
    <n v="152"/>
    <n v="0"/>
    <n v="1.2"/>
    <n v="0"/>
    <n v="0"/>
    <n v="2"/>
    <n v="1"/>
    <x v="0"/>
    <x v="1"/>
    <x v="2"/>
    <s v="High"/>
    <x v="0"/>
    <x v="0"/>
    <x v="2"/>
  </r>
  <r>
    <n v="42"/>
    <x v="0"/>
    <n v="0"/>
    <n v="136"/>
    <n v="315"/>
    <n v="0"/>
    <n v="1"/>
    <n v="125"/>
    <n v="1"/>
    <n v="1.8"/>
    <n v="1"/>
    <n v="0"/>
    <n v="1"/>
    <n v="0"/>
    <x v="0"/>
    <x v="0"/>
    <x v="0"/>
    <s v="Normal"/>
    <x v="1"/>
    <x v="0"/>
    <x v="2"/>
  </r>
  <r>
    <n v="37"/>
    <x v="1"/>
    <n v="2"/>
    <n v="120"/>
    <n v="215"/>
    <n v="0"/>
    <n v="1"/>
    <n v="170"/>
    <n v="0"/>
    <n v="0"/>
    <n v="2"/>
    <n v="0"/>
    <n v="2"/>
    <n v="1"/>
    <x v="1"/>
    <x v="1"/>
    <x v="2"/>
    <s v="Normal"/>
    <x v="0"/>
    <x v="2"/>
    <x v="0"/>
  </r>
  <r>
    <n v="62"/>
    <x v="1"/>
    <n v="0"/>
    <n v="160"/>
    <n v="164"/>
    <n v="0"/>
    <n v="0"/>
    <n v="145"/>
    <n v="0"/>
    <n v="6.2"/>
    <n v="0"/>
    <n v="3"/>
    <n v="3"/>
    <n v="0"/>
    <x v="1"/>
    <x v="0"/>
    <x v="0"/>
    <s v="Normal"/>
    <x v="0"/>
    <x v="3"/>
    <x v="1"/>
  </r>
  <r>
    <n v="59"/>
    <x v="0"/>
    <n v="0"/>
    <n v="170"/>
    <n v="326"/>
    <n v="0"/>
    <n v="0"/>
    <n v="140"/>
    <n v="1"/>
    <n v="3.4"/>
    <n v="0"/>
    <n v="0"/>
    <n v="3"/>
    <n v="0"/>
    <x v="0"/>
    <x v="0"/>
    <x v="0"/>
    <s v="Normal"/>
    <x v="1"/>
    <x v="1"/>
    <x v="1"/>
  </r>
  <r>
    <n v="61"/>
    <x v="0"/>
    <n v="0"/>
    <n v="140"/>
    <n v="207"/>
    <n v="0"/>
    <n v="0"/>
    <n v="138"/>
    <n v="1"/>
    <n v="1.9"/>
    <n v="2"/>
    <n v="1"/>
    <n v="3"/>
    <n v="0"/>
    <x v="0"/>
    <x v="0"/>
    <x v="0"/>
    <s v="Normal"/>
    <x v="1"/>
    <x v="0"/>
    <x v="1"/>
  </r>
  <r>
    <n v="56"/>
    <x v="0"/>
    <n v="0"/>
    <n v="125"/>
    <n v="249"/>
    <n v="1"/>
    <n v="0"/>
    <n v="144"/>
    <n v="1"/>
    <n v="1.2"/>
    <n v="1"/>
    <n v="1"/>
    <n v="2"/>
    <n v="0"/>
    <x v="0"/>
    <x v="0"/>
    <x v="0"/>
    <s v="High"/>
    <x v="1"/>
    <x v="1"/>
    <x v="0"/>
  </r>
  <r>
    <n v="59"/>
    <x v="0"/>
    <n v="0"/>
    <n v="140"/>
    <n v="177"/>
    <n v="0"/>
    <n v="1"/>
    <n v="162"/>
    <n v="1"/>
    <n v="0"/>
    <n v="2"/>
    <n v="1"/>
    <n v="3"/>
    <n v="0"/>
    <x v="0"/>
    <x v="0"/>
    <x v="0"/>
    <s v="Normal"/>
    <x v="1"/>
    <x v="0"/>
    <x v="1"/>
  </r>
  <r>
    <n v="48"/>
    <x v="0"/>
    <n v="0"/>
    <n v="130"/>
    <n v="256"/>
    <n v="1"/>
    <n v="0"/>
    <n v="150"/>
    <n v="1"/>
    <n v="0"/>
    <n v="2"/>
    <n v="2"/>
    <n v="3"/>
    <n v="0"/>
    <x v="0"/>
    <x v="0"/>
    <x v="0"/>
    <s v="High"/>
    <x v="1"/>
    <x v="0"/>
    <x v="2"/>
  </r>
  <r>
    <n v="47"/>
    <x v="0"/>
    <n v="2"/>
    <n v="138"/>
    <n v="257"/>
    <n v="0"/>
    <n v="0"/>
    <n v="156"/>
    <n v="0"/>
    <n v="0"/>
    <n v="2"/>
    <n v="0"/>
    <n v="2"/>
    <n v="1"/>
    <x v="0"/>
    <x v="1"/>
    <x v="2"/>
    <s v="Normal"/>
    <x v="0"/>
    <x v="2"/>
    <x v="2"/>
  </r>
  <r>
    <n v="48"/>
    <x v="0"/>
    <n v="2"/>
    <n v="124"/>
    <n v="255"/>
    <n v="1"/>
    <n v="1"/>
    <n v="175"/>
    <n v="0"/>
    <n v="0"/>
    <n v="2"/>
    <n v="2"/>
    <n v="2"/>
    <n v="1"/>
    <x v="0"/>
    <x v="1"/>
    <x v="2"/>
    <s v="High"/>
    <x v="0"/>
    <x v="2"/>
    <x v="0"/>
  </r>
  <r>
    <n v="63"/>
    <x v="0"/>
    <n v="0"/>
    <n v="140"/>
    <n v="187"/>
    <n v="0"/>
    <n v="0"/>
    <n v="144"/>
    <n v="1"/>
    <n v="4"/>
    <n v="2"/>
    <n v="2"/>
    <n v="3"/>
    <n v="0"/>
    <x v="0"/>
    <x v="0"/>
    <x v="0"/>
    <s v="Normal"/>
    <x v="1"/>
    <x v="2"/>
    <x v="1"/>
  </r>
  <r>
    <n v="52"/>
    <x v="0"/>
    <n v="1"/>
    <n v="134"/>
    <n v="201"/>
    <n v="0"/>
    <n v="1"/>
    <n v="158"/>
    <n v="0"/>
    <n v="0.8"/>
    <n v="2"/>
    <n v="1"/>
    <n v="2"/>
    <n v="1"/>
    <x v="0"/>
    <x v="1"/>
    <x v="1"/>
    <s v="Normal"/>
    <x v="0"/>
    <x v="1"/>
    <x v="2"/>
  </r>
  <r>
    <n v="52"/>
    <x v="0"/>
    <n v="1"/>
    <n v="134"/>
    <n v="201"/>
    <n v="0"/>
    <n v="1"/>
    <n v="158"/>
    <n v="0"/>
    <n v="0.8"/>
    <n v="2"/>
    <n v="1"/>
    <n v="2"/>
    <n v="1"/>
    <x v="0"/>
    <x v="1"/>
    <x v="1"/>
    <s v="Normal"/>
    <x v="0"/>
    <x v="0"/>
    <x v="2"/>
  </r>
  <r>
    <n v="50"/>
    <x v="0"/>
    <n v="2"/>
    <n v="140"/>
    <n v="233"/>
    <n v="0"/>
    <n v="1"/>
    <n v="163"/>
    <n v="0"/>
    <n v="0.6"/>
    <n v="1"/>
    <n v="1"/>
    <n v="3"/>
    <n v="0"/>
    <x v="0"/>
    <x v="0"/>
    <x v="2"/>
    <s v="Normal"/>
    <x v="0"/>
    <x v="0"/>
    <x v="1"/>
  </r>
  <r>
    <n v="49"/>
    <x v="0"/>
    <n v="2"/>
    <n v="118"/>
    <n v="149"/>
    <n v="0"/>
    <n v="0"/>
    <n v="126"/>
    <n v="0"/>
    <n v="0.8"/>
    <n v="2"/>
    <n v="3"/>
    <n v="2"/>
    <n v="0"/>
    <x v="0"/>
    <x v="0"/>
    <x v="2"/>
    <s v="Normal"/>
    <x v="0"/>
    <x v="0"/>
    <x v="3"/>
  </r>
  <r>
    <n v="46"/>
    <x v="0"/>
    <n v="2"/>
    <n v="150"/>
    <n v="231"/>
    <n v="0"/>
    <n v="1"/>
    <n v="147"/>
    <n v="0"/>
    <n v="3.6"/>
    <n v="1"/>
    <n v="0"/>
    <n v="2"/>
    <n v="0"/>
    <x v="0"/>
    <x v="0"/>
    <x v="2"/>
    <s v="Normal"/>
    <x v="0"/>
    <x v="2"/>
    <x v="1"/>
  </r>
  <r>
    <n v="38"/>
    <x v="0"/>
    <n v="2"/>
    <n v="138"/>
    <n v="175"/>
    <n v="0"/>
    <n v="1"/>
    <n v="173"/>
    <n v="0"/>
    <n v="0"/>
    <n v="2"/>
    <n v="4"/>
    <n v="2"/>
    <n v="1"/>
    <x v="0"/>
    <x v="1"/>
    <x v="2"/>
    <s v="Normal"/>
    <x v="0"/>
    <x v="2"/>
    <x v="2"/>
  </r>
  <r>
    <n v="37"/>
    <x v="1"/>
    <n v="2"/>
    <n v="120"/>
    <n v="215"/>
    <n v="0"/>
    <n v="1"/>
    <n v="170"/>
    <n v="0"/>
    <n v="0"/>
    <n v="2"/>
    <n v="0"/>
    <n v="2"/>
    <n v="1"/>
    <x v="1"/>
    <x v="1"/>
    <x v="2"/>
    <s v="Normal"/>
    <x v="0"/>
    <x v="3"/>
    <x v="0"/>
  </r>
  <r>
    <n v="44"/>
    <x v="0"/>
    <n v="1"/>
    <n v="120"/>
    <n v="220"/>
    <n v="0"/>
    <n v="1"/>
    <n v="170"/>
    <n v="0"/>
    <n v="0"/>
    <n v="2"/>
    <n v="0"/>
    <n v="2"/>
    <n v="1"/>
    <x v="0"/>
    <x v="1"/>
    <x v="1"/>
    <s v="Normal"/>
    <x v="0"/>
    <x v="3"/>
    <x v="0"/>
  </r>
  <r>
    <n v="58"/>
    <x v="0"/>
    <n v="2"/>
    <n v="140"/>
    <n v="211"/>
    <n v="1"/>
    <n v="0"/>
    <n v="165"/>
    <n v="0"/>
    <n v="0"/>
    <n v="2"/>
    <n v="0"/>
    <n v="2"/>
    <n v="1"/>
    <x v="0"/>
    <x v="1"/>
    <x v="2"/>
    <s v="High"/>
    <x v="0"/>
    <x v="2"/>
    <x v="1"/>
  </r>
  <r>
    <n v="59"/>
    <x v="1"/>
    <n v="0"/>
    <n v="174"/>
    <n v="249"/>
    <n v="0"/>
    <n v="1"/>
    <n v="143"/>
    <n v="1"/>
    <n v="0"/>
    <n v="1"/>
    <n v="0"/>
    <n v="2"/>
    <n v="0"/>
    <x v="1"/>
    <x v="0"/>
    <x v="0"/>
    <s v="Normal"/>
    <x v="1"/>
    <x v="0"/>
    <x v="1"/>
  </r>
  <r>
    <n v="62"/>
    <x v="1"/>
    <n v="0"/>
    <n v="140"/>
    <n v="268"/>
    <n v="0"/>
    <n v="0"/>
    <n v="160"/>
    <n v="0"/>
    <n v="3.6"/>
    <n v="0"/>
    <n v="2"/>
    <n v="2"/>
    <n v="0"/>
    <x v="1"/>
    <x v="0"/>
    <x v="0"/>
    <s v="Normal"/>
    <x v="0"/>
    <x v="0"/>
    <x v="1"/>
  </r>
  <r>
    <n v="68"/>
    <x v="0"/>
    <n v="0"/>
    <n v="144"/>
    <n v="193"/>
    <n v="1"/>
    <n v="1"/>
    <n v="141"/>
    <n v="0"/>
    <n v="3.4"/>
    <n v="1"/>
    <n v="2"/>
    <n v="3"/>
    <n v="0"/>
    <x v="0"/>
    <x v="0"/>
    <x v="0"/>
    <s v="High"/>
    <x v="0"/>
    <x v="1"/>
    <x v="1"/>
  </r>
  <r>
    <n v="54"/>
    <x v="1"/>
    <n v="2"/>
    <n v="108"/>
    <n v="267"/>
    <n v="0"/>
    <n v="0"/>
    <n v="167"/>
    <n v="0"/>
    <n v="0"/>
    <n v="2"/>
    <n v="0"/>
    <n v="2"/>
    <n v="1"/>
    <x v="1"/>
    <x v="1"/>
    <x v="2"/>
    <s v="Normal"/>
    <x v="0"/>
    <x v="1"/>
    <x v="3"/>
  </r>
  <r>
    <n v="62"/>
    <x v="1"/>
    <n v="0"/>
    <n v="124"/>
    <n v="209"/>
    <n v="0"/>
    <n v="1"/>
    <n v="163"/>
    <n v="0"/>
    <n v="0"/>
    <n v="2"/>
    <n v="0"/>
    <n v="2"/>
    <n v="1"/>
    <x v="1"/>
    <x v="1"/>
    <x v="0"/>
    <s v="Normal"/>
    <x v="0"/>
    <x v="0"/>
    <x v="0"/>
  </r>
  <r>
    <n v="63"/>
    <x v="0"/>
    <n v="0"/>
    <n v="140"/>
    <n v="187"/>
    <n v="0"/>
    <n v="0"/>
    <n v="144"/>
    <n v="1"/>
    <n v="4"/>
    <n v="2"/>
    <n v="2"/>
    <n v="3"/>
    <n v="0"/>
    <x v="0"/>
    <x v="0"/>
    <x v="0"/>
    <s v="Normal"/>
    <x v="1"/>
    <x v="1"/>
    <x v="1"/>
  </r>
  <r>
    <n v="44"/>
    <x v="0"/>
    <n v="0"/>
    <n v="120"/>
    <n v="169"/>
    <n v="0"/>
    <n v="1"/>
    <n v="144"/>
    <n v="1"/>
    <n v="2.8"/>
    <n v="0"/>
    <n v="0"/>
    <n v="1"/>
    <n v="0"/>
    <x v="0"/>
    <x v="0"/>
    <x v="0"/>
    <s v="Normal"/>
    <x v="1"/>
    <x v="1"/>
    <x v="0"/>
  </r>
  <r>
    <n v="62"/>
    <x v="0"/>
    <n v="1"/>
    <n v="128"/>
    <n v="208"/>
    <n v="1"/>
    <n v="0"/>
    <n v="140"/>
    <n v="0"/>
    <n v="0"/>
    <n v="2"/>
    <n v="0"/>
    <n v="2"/>
    <n v="1"/>
    <x v="0"/>
    <x v="1"/>
    <x v="1"/>
    <s v="High"/>
    <x v="0"/>
    <x v="2"/>
    <x v="0"/>
  </r>
  <r>
    <n v="45"/>
    <x v="1"/>
    <n v="0"/>
    <n v="138"/>
    <n v="236"/>
    <n v="0"/>
    <n v="0"/>
    <n v="152"/>
    <n v="1"/>
    <n v="0.2"/>
    <n v="1"/>
    <n v="0"/>
    <n v="2"/>
    <n v="1"/>
    <x v="1"/>
    <x v="1"/>
    <x v="0"/>
    <s v="Normal"/>
    <x v="1"/>
    <x v="1"/>
    <x v="2"/>
  </r>
  <r>
    <n v="57"/>
    <x v="1"/>
    <n v="0"/>
    <n v="128"/>
    <n v="303"/>
    <n v="0"/>
    <n v="0"/>
    <n v="159"/>
    <n v="0"/>
    <n v="0"/>
    <n v="2"/>
    <n v="1"/>
    <n v="2"/>
    <n v="1"/>
    <x v="1"/>
    <x v="1"/>
    <x v="0"/>
    <s v="Normal"/>
    <x v="0"/>
    <x v="2"/>
    <x v="0"/>
  </r>
  <r>
    <n v="53"/>
    <x v="0"/>
    <n v="0"/>
    <n v="123"/>
    <n v="282"/>
    <n v="0"/>
    <n v="1"/>
    <n v="95"/>
    <n v="1"/>
    <n v="2"/>
    <n v="1"/>
    <n v="2"/>
    <n v="3"/>
    <n v="0"/>
    <x v="0"/>
    <x v="0"/>
    <x v="0"/>
    <s v="Normal"/>
    <x v="1"/>
    <x v="0"/>
    <x v="0"/>
  </r>
  <r>
    <n v="65"/>
    <x v="0"/>
    <n v="0"/>
    <n v="110"/>
    <n v="248"/>
    <n v="0"/>
    <n v="0"/>
    <n v="158"/>
    <n v="0"/>
    <n v="0.6"/>
    <n v="2"/>
    <n v="2"/>
    <n v="1"/>
    <n v="0"/>
    <x v="0"/>
    <x v="0"/>
    <x v="0"/>
    <s v="Normal"/>
    <x v="0"/>
    <x v="0"/>
    <x v="3"/>
  </r>
  <r>
    <n v="76"/>
    <x v="1"/>
    <n v="2"/>
    <n v="140"/>
    <n v="197"/>
    <n v="0"/>
    <n v="2"/>
    <n v="116"/>
    <n v="0"/>
    <n v="1.1000000000000001"/>
    <n v="1"/>
    <n v="0"/>
    <n v="2"/>
    <n v="1"/>
    <x v="1"/>
    <x v="1"/>
    <x v="2"/>
    <s v="Normal"/>
    <x v="0"/>
    <x v="1"/>
    <x v="1"/>
  </r>
  <r>
    <n v="43"/>
    <x v="1"/>
    <n v="2"/>
    <n v="122"/>
    <n v="213"/>
    <n v="0"/>
    <n v="1"/>
    <n v="165"/>
    <n v="0"/>
    <n v="0.2"/>
    <n v="1"/>
    <n v="0"/>
    <n v="2"/>
    <n v="1"/>
    <x v="1"/>
    <x v="1"/>
    <x v="2"/>
    <s v="Normal"/>
    <x v="0"/>
    <x v="1"/>
    <x v="0"/>
  </r>
  <r>
    <n v="57"/>
    <x v="0"/>
    <n v="2"/>
    <n v="150"/>
    <n v="126"/>
    <n v="1"/>
    <n v="1"/>
    <n v="173"/>
    <n v="0"/>
    <n v="0.2"/>
    <n v="2"/>
    <n v="1"/>
    <n v="3"/>
    <n v="1"/>
    <x v="0"/>
    <x v="1"/>
    <x v="2"/>
    <s v="High"/>
    <x v="0"/>
    <x v="2"/>
    <x v="1"/>
  </r>
  <r>
    <n v="54"/>
    <x v="0"/>
    <n v="1"/>
    <n v="108"/>
    <n v="309"/>
    <n v="0"/>
    <n v="1"/>
    <n v="156"/>
    <n v="0"/>
    <n v="0"/>
    <n v="2"/>
    <n v="0"/>
    <n v="3"/>
    <n v="1"/>
    <x v="0"/>
    <x v="1"/>
    <x v="1"/>
    <s v="Normal"/>
    <x v="0"/>
    <x v="0"/>
    <x v="3"/>
  </r>
  <r>
    <n v="47"/>
    <x v="0"/>
    <n v="2"/>
    <n v="138"/>
    <n v="257"/>
    <n v="0"/>
    <n v="0"/>
    <n v="156"/>
    <n v="0"/>
    <n v="0"/>
    <n v="2"/>
    <n v="0"/>
    <n v="2"/>
    <n v="1"/>
    <x v="0"/>
    <x v="1"/>
    <x v="2"/>
    <s v="Normal"/>
    <x v="0"/>
    <x v="0"/>
    <x v="2"/>
  </r>
  <r>
    <n v="52"/>
    <x v="0"/>
    <n v="3"/>
    <n v="118"/>
    <n v="186"/>
    <n v="0"/>
    <n v="0"/>
    <n v="190"/>
    <n v="0"/>
    <n v="0"/>
    <n v="1"/>
    <n v="0"/>
    <n v="1"/>
    <n v="1"/>
    <x v="0"/>
    <x v="1"/>
    <x v="3"/>
    <s v="Normal"/>
    <x v="0"/>
    <x v="2"/>
    <x v="3"/>
  </r>
  <r>
    <n v="47"/>
    <x v="0"/>
    <n v="0"/>
    <n v="110"/>
    <n v="275"/>
    <n v="0"/>
    <n v="0"/>
    <n v="118"/>
    <n v="1"/>
    <n v="1"/>
    <n v="1"/>
    <n v="1"/>
    <n v="2"/>
    <n v="0"/>
    <x v="0"/>
    <x v="0"/>
    <x v="0"/>
    <s v="Normal"/>
    <x v="1"/>
    <x v="0"/>
    <x v="3"/>
  </r>
  <r>
    <n v="51"/>
    <x v="0"/>
    <n v="0"/>
    <n v="140"/>
    <n v="299"/>
    <n v="0"/>
    <n v="1"/>
    <n v="173"/>
    <n v="1"/>
    <n v="1.6"/>
    <n v="2"/>
    <n v="0"/>
    <n v="3"/>
    <n v="0"/>
    <x v="0"/>
    <x v="0"/>
    <x v="0"/>
    <s v="Normal"/>
    <x v="1"/>
    <x v="2"/>
    <x v="1"/>
  </r>
  <r>
    <n v="62"/>
    <x v="0"/>
    <n v="1"/>
    <n v="120"/>
    <n v="281"/>
    <n v="0"/>
    <n v="0"/>
    <n v="103"/>
    <n v="0"/>
    <n v="1.4"/>
    <n v="1"/>
    <n v="1"/>
    <n v="3"/>
    <n v="0"/>
    <x v="0"/>
    <x v="0"/>
    <x v="1"/>
    <s v="Normal"/>
    <x v="0"/>
    <x v="0"/>
    <x v="0"/>
  </r>
  <r>
    <n v="40"/>
    <x v="0"/>
    <n v="0"/>
    <n v="152"/>
    <n v="223"/>
    <n v="0"/>
    <n v="1"/>
    <n v="181"/>
    <n v="0"/>
    <n v="0"/>
    <n v="2"/>
    <n v="0"/>
    <n v="3"/>
    <n v="0"/>
    <x v="0"/>
    <x v="0"/>
    <x v="0"/>
    <s v="Normal"/>
    <x v="0"/>
    <x v="1"/>
    <x v="1"/>
  </r>
  <r>
    <n v="54"/>
    <x v="0"/>
    <n v="0"/>
    <n v="110"/>
    <n v="206"/>
    <n v="0"/>
    <n v="0"/>
    <n v="108"/>
    <n v="1"/>
    <n v="0"/>
    <n v="1"/>
    <n v="1"/>
    <n v="2"/>
    <n v="0"/>
    <x v="0"/>
    <x v="0"/>
    <x v="0"/>
    <s v="Normal"/>
    <x v="1"/>
    <x v="2"/>
    <x v="3"/>
  </r>
  <r>
    <n v="44"/>
    <x v="0"/>
    <n v="0"/>
    <n v="110"/>
    <n v="197"/>
    <n v="0"/>
    <n v="0"/>
    <n v="177"/>
    <n v="0"/>
    <n v="0"/>
    <n v="2"/>
    <n v="1"/>
    <n v="2"/>
    <n v="0"/>
    <x v="0"/>
    <x v="0"/>
    <x v="0"/>
    <s v="Normal"/>
    <x v="0"/>
    <x v="0"/>
    <x v="3"/>
  </r>
  <r>
    <n v="53"/>
    <x v="0"/>
    <n v="0"/>
    <n v="142"/>
    <n v="226"/>
    <n v="0"/>
    <n v="0"/>
    <n v="111"/>
    <n v="1"/>
    <n v="0"/>
    <n v="2"/>
    <n v="0"/>
    <n v="3"/>
    <n v="1"/>
    <x v="0"/>
    <x v="1"/>
    <x v="0"/>
    <s v="Normal"/>
    <x v="1"/>
    <x v="2"/>
    <x v="1"/>
  </r>
  <r>
    <n v="48"/>
    <x v="0"/>
    <n v="0"/>
    <n v="130"/>
    <n v="256"/>
    <n v="1"/>
    <n v="0"/>
    <n v="150"/>
    <n v="1"/>
    <n v="0"/>
    <n v="2"/>
    <n v="2"/>
    <n v="3"/>
    <n v="0"/>
    <x v="0"/>
    <x v="0"/>
    <x v="0"/>
    <s v="High"/>
    <x v="1"/>
    <x v="0"/>
    <x v="2"/>
  </r>
  <r>
    <n v="57"/>
    <x v="0"/>
    <n v="0"/>
    <n v="110"/>
    <n v="335"/>
    <n v="0"/>
    <n v="1"/>
    <n v="143"/>
    <n v="1"/>
    <n v="3"/>
    <n v="1"/>
    <n v="1"/>
    <n v="3"/>
    <n v="0"/>
    <x v="0"/>
    <x v="0"/>
    <x v="0"/>
    <s v="Normal"/>
    <x v="1"/>
    <x v="2"/>
    <x v="3"/>
  </r>
  <r>
    <n v="59"/>
    <x v="0"/>
    <n v="2"/>
    <n v="126"/>
    <n v="218"/>
    <n v="1"/>
    <n v="1"/>
    <n v="134"/>
    <n v="0"/>
    <n v="2.2000000000000002"/>
    <n v="1"/>
    <n v="1"/>
    <n v="1"/>
    <n v="0"/>
    <x v="0"/>
    <x v="0"/>
    <x v="2"/>
    <s v="High"/>
    <x v="0"/>
    <x v="0"/>
    <x v="0"/>
  </r>
  <r>
    <n v="61"/>
    <x v="1"/>
    <n v="0"/>
    <n v="145"/>
    <n v="307"/>
    <n v="0"/>
    <n v="0"/>
    <n v="146"/>
    <n v="1"/>
    <n v="1"/>
    <n v="1"/>
    <n v="0"/>
    <n v="3"/>
    <n v="0"/>
    <x v="1"/>
    <x v="0"/>
    <x v="0"/>
    <s v="Normal"/>
    <x v="1"/>
    <x v="0"/>
    <x v="1"/>
  </r>
  <r>
    <n v="63"/>
    <x v="0"/>
    <n v="0"/>
    <n v="130"/>
    <n v="254"/>
    <n v="0"/>
    <n v="0"/>
    <n v="147"/>
    <n v="0"/>
    <n v="1.4"/>
    <n v="1"/>
    <n v="1"/>
    <n v="3"/>
    <n v="0"/>
    <x v="0"/>
    <x v="0"/>
    <x v="0"/>
    <s v="Normal"/>
    <x v="0"/>
    <x v="1"/>
    <x v="2"/>
  </r>
  <r>
    <n v="43"/>
    <x v="0"/>
    <n v="0"/>
    <n v="120"/>
    <n v="177"/>
    <n v="0"/>
    <n v="0"/>
    <n v="120"/>
    <n v="1"/>
    <n v="2.5"/>
    <n v="1"/>
    <n v="0"/>
    <n v="3"/>
    <n v="0"/>
    <x v="0"/>
    <x v="0"/>
    <x v="0"/>
    <s v="Normal"/>
    <x v="1"/>
    <x v="1"/>
    <x v="0"/>
  </r>
  <r>
    <n v="29"/>
    <x v="0"/>
    <n v="1"/>
    <n v="130"/>
    <n v="204"/>
    <n v="0"/>
    <n v="0"/>
    <n v="202"/>
    <n v="0"/>
    <n v="0"/>
    <n v="2"/>
    <n v="0"/>
    <n v="2"/>
    <n v="1"/>
    <x v="0"/>
    <x v="1"/>
    <x v="1"/>
    <s v="Normal"/>
    <x v="0"/>
    <x v="2"/>
    <x v="2"/>
  </r>
  <r>
    <n v="42"/>
    <x v="0"/>
    <n v="1"/>
    <n v="120"/>
    <n v="295"/>
    <n v="0"/>
    <n v="1"/>
    <n v="162"/>
    <n v="0"/>
    <n v="0"/>
    <n v="2"/>
    <n v="0"/>
    <n v="2"/>
    <n v="1"/>
    <x v="0"/>
    <x v="1"/>
    <x v="1"/>
    <s v="Normal"/>
    <x v="0"/>
    <x v="4"/>
    <x v="0"/>
  </r>
  <r>
    <n v="54"/>
    <x v="0"/>
    <n v="1"/>
    <n v="108"/>
    <n v="309"/>
    <n v="0"/>
    <n v="1"/>
    <n v="156"/>
    <n v="0"/>
    <n v="0"/>
    <n v="2"/>
    <n v="0"/>
    <n v="3"/>
    <n v="1"/>
    <x v="0"/>
    <x v="1"/>
    <x v="1"/>
    <s v="Normal"/>
    <x v="0"/>
    <x v="2"/>
    <x v="3"/>
  </r>
  <r>
    <n v="44"/>
    <x v="0"/>
    <n v="0"/>
    <n v="120"/>
    <n v="169"/>
    <n v="0"/>
    <n v="1"/>
    <n v="144"/>
    <n v="1"/>
    <n v="2.8"/>
    <n v="0"/>
    <n v="0"/>
    <n v="1"/>
    <n v="0"/>
    <x v="0"/>
    <x v="0"/>
    <x v="0"/>
    <s v="Normal"/>
    <x v="1"/>
    <x v="0"/>
    <x v="0"/>
  </r>
  <r>
    <n v="60"/>
    <x v="0"/>
    <n v="0"/>
    <n v="145"/>
    <n v="282"/>
    <n v="0"/>
    <n v="0"/>
    <n v="142"/>
    <n v="1"/>
    <n v="2.8"/>
    <n v="1"/>
    <n v="2"/>
    <n v="3"/>
    <n v="0"/>
    <x v="0"/>
    <x v="0"/>
    <x v="0"/>
    <s v="Normal"/>
    <x v="1"/>
    <x v="2"/>
    <x v="1"/>
  </r>
  <r>
    <n v="65"/>
    <x v="1"/>
    <n v="2"/>
    <n v="140"/>
    <n v="417"/>
    <n v="1"/>
    <n v="0"/>
    <n v="157"/>
    <n v="0"/>
    <n v="0.8"/>
    <n v="2"/>
    <n v="1"/>
    <n v="2"/>
    <n v="1"/>
    <x v="1"/>
    <x v="1"/>
    <x v="2"/>
    <s v="High"/>
    <x v="0"/>
    <x v="1"/>
    <x v="1"/>
  </r>
  <r>
    <n v="61"/>
    <x v="0"/>
    <n v="0"/>
    <n v="120"/>
    <n v="260"/>
    <n v="0"/>
    <n v="1"/>
    <n v="140"/>
    <n v="1"/>
    <n v="3.6"/>
    <n v="1"/>
    <n v="1"/>
    <n v="3"/>
    <n v="0"/>
    <x v="0"/>
    <x v="0"/>
    <x v="0"/>
    <s v="Normal"/>
    <x v="1"/>
    <x v="1"/>
    <x v="0"/>
  </r>
  <r>
    <n v="60"/>
    <x v="1"/>
    <n v="3"/>
    <n v="150"/>
    <n v="240"/>
    <n v="0"/>
    <n v="1"/>
    <n v="171"/>
    <n v="0"/>
    <n v="0.9"/>
    <n v="2"/>
    <n v="0"/>
    <n v="2"/>
    <n v="1"/>
    <x v="1"/>
    <x v="1"/>
    <x v="3"/>
    <s v="Normal"/>
    <x v="0"/>
    <x v="1"/>
    <x v="1"/>
  </r>
  <r>
    <n v="66"/>
    <x v="0"/>
    <n v="0"/>
    <n v="120"/>
    <n v="302"/>
    <n v="0"/>
    <n v="0"/>
    <n v="151"/>
    <n v="0"/>
    <n v="0.4"/>
    <n v="1"/>
    <n v="0"/>
    <n v="2"/>
    <n v="1"/>
    <x v="0"/>
    <x v="1"/>
    <x v="0"/>
    <s v="Normal"/>
    <x v="0"/>
    <x v="1"/>
    <x v="0"/>
  </r>
  <r>
    <n v="53"/>
    <x v="0"/>
    <n v="2"/>
    <n v="130"/>
    <n v="197"/>
    <n v="1"/>
    <n v="0"/>
    <n v="152"/>
    <n v="0"/>
    <n v="1.2"/>
    <n v="0"/>
    <n v="0"/>
    <n v="2"/>
    <n v="1"/>
    <x v="0"/>
    <x v="1"/>
    <x v="2"/>
    <s v="High"/>
    <x v="0"/>
    <x v="1"/>
    <x v="2"/>
  </r>
  <r>
    <n v="52"/>
    <x v="0"/>
    <n v="2"/>
    <n v="138"/>
    <n v="223"/>
    <n v="0"/>
    <n v="1"/>
    <n v="169"/>
    <n v="0"/>
    <n v="0"/>
    <n v="2"/>
    <n v="4"/>
    <n v="2"/>
    <n v="1"/>
    <x v="0"/>
    <x v="1"/>
    <x v="2"/>
    <s v="Normal"/>
    <x v="0"/>
    <x v="0"/>
    <x v="2"/>
  </r>
  <r>
    <n v="57"/>
    <x v="0"/>
    <n v="0"/>
    <n v="140"/>
    <n v="192"/>
    <n v="0"/>
    <n v="1"/>
    <n v="148"/>
    <n v="0"/>
    <n v="0.4"/>
    <n v="1"/>
    <n v="0"/>
    <n v="1"/>
    <n v="1"/>
    <x v="0"/>
    <x v="1"/>
    <x v="0"/>
    <s v="Normal"/>
    <x v="0"/>
    <x v="0"/>
    <x v="1"/>
  </r>
  <r>
    <n v="60"/>
    <x v="1"/>
    <n v="3"/>
    <n v="150"/>
    <n v="240"/>
    <n v="0"/>
    <n v="1"/>
    <n v="171"/>
    <n v="0"/>
    <n v="0.9"/>
    <n v="2"/>
    <n v="0"/>
    <n v="2"/>
    <n v="1"/>
    <x v="1"/>
    <x v="1"/>
    <x v="3"/>
    <s v="Normal"/>
    <x v="0"/>
    <x v="0"/>
    <x v="1"/>
  </r>
  <r>
    <n v="51"/>
    <x v="1"/>
    <n v="2"/>
    <n v="130"/>
    <n v="256"/>
    <n v="0"/>
    <n v="0"/>
    <n v="149"/>
    <n v="0"/>
    <n v="0.5"/>
    <n v="2"/>
    <n v="0"/>
    <n v="2"/>
    <n v="1"/>
    <x v="1"/>
    <x v="1"/>
    <x v="2"/>
    <s v="Normal"/>
    <x v="0"/>
    <x v="1"/>
    <x v="2"/>
  </r>
  <r>
    <n v="41"/>
    <x v="0"/>
    <n v="1"/>
    <n v="135"/>
    <n v="203"/>
    <n v="0"/>
    <n v="1"/>
    <n v="132"/>
    <n v="0"/>
    <n v="0"/>
    <n v="1"/>
    <n v="0"/>
    <n v="1"/>
    <n v="1"/>
    <x v="0"/>
    <x v="1"/>
    <x v="1"/>
    <s v="Normal"/>
    <x v="0"/>
    <x v="0"/>
    <x v="2"/>
  </r>
  <r>
    <n v="50"/>
    <x v="0"/>
    <n v="2"/>
    <n v="129"/>
    <n v="196"/>
    <n v="0"/>
    <n v="1"/>
    <n v="163"/>
    <n v="0"/>
    <n v="0"/>
    <n v="2"/>
    <n v="0"/>
    <n v="2"/>
    <n v="1"/>
    <x v="0"/>
    <x v="1"/>
    <x v="2"/>
    <s v="Normal"/>
    <x v="0"/>
    <x v="2"/>
    <x v="0"/>
  </r>
  <r>
    <n v="54"/>
    <x v="0"/>
    <n v="1"/>
    <n v="108"/>
    <n v="309"/>
    <n v="0"/>
    <n v="1"/>
    <n v="156"/>
    <n v="0"/>
    <n v="0"/>
    <n v="2"/>
    <n v="0"/>
    <n v="3"/>
    <n v="1"/>
    <x v="0"/>
    <x v="1"/>
    <x v="1"/>
    <s v="Normal"/>
    <x v="0"/>
    <x v="0"/>
    <x v="3"/>
  </r>
  <r>
    <n v="58"/>
    <x v="1"/>
    <n v="0"/>
    <n v="170"/>
    <n v="225"/>
    <n v="1"/>
    <n v="0"/>
    <n v="146"/>
    <n v="1"/>
    <n v="2.8"/>
    <n v="1"/>
    <n v="2"/>
    <n v="1"/>
    <n v="0"/>
    <x v="1"/>
    <x v="0"/>
    <x v="0"/>
    <s v="High"/>
    <x v="1"/>
    <x v="0"/>
    <x v="1"/>
  </r>
  <r>
    <n v="55"/>
    <x v="1"/>
    <n v="1"/>
    <n v="132"/>
    <n v="342"/>
    <n v="0"/>
    <n v="1"/>
    <n v="166"/>
    <n v="0"/>
    <n v="1.2"/>
    <n v="2"/>
    <n v="0"/>
    <n v="2"/>
    <n v="1"/>
    <x v="1"/>
    <x v="1"/>
    <x v="1"/>
    <s v="Normal"/>
    <x v="0"/>
    <x v="0"/>
    <x v="2"/>
  </r>
  <r>
    <n v="64"/>
    <x v="1"/>
    <n v="0"/>
    <n v="180"/>
    <n v="325"/>
    <n v="0"/>
    <n v="1"/>
    <n v="154"/>
    <n v="1"/>
    <n v="0"/>
    <n v="2"/>
    <n v="0"/>
    <n v="2"/>
    <n v="1"/>
    <x v="1"/>
    <x v="1"/>
    <x v="0"/>
    <s v="Normal"/>
    <x v="1"/>
    <x v="0"/>
    <x v="1"/>
  </r>
  <r>
    <n v="47"/>
    <x v="0"/>
    <n v="2"/>
    <n v="138"/>
    <n v="257"/>
    <n v="0"/>
    <n v="0"/>
    <n v="156"/>
    <n v="0"/>
    <n v="0"/>
    <n v="2"/>
    <n v="0"/>
    <n v="2"/>
    <n v="1"/>
    <x v="0"/>
    <x v="1"/>
    <x v="2"/>
    <s v="Normal"/>
    <x v="0"/>
    <x v="1"/>
    <x v="2"/>
  </r>
  <r>
    <n v="41"/>
    <x v="0"/>
    <n v="1"/>
    <n v="110"/>
    <n v="235"/>
    <n v="0"/>
    <n v="1"/>
    <n v="153"/>
    <n v="0"/>
    <n v="0"/>
    <n v="2"/>
    <n v="0"/>
    <n v="2"/>
    <n v="1"/>
    <x v="0"/>
    <x v="1"/>
    <x v="1"/>
    <s v="Normal"/>
    <x v="0"/>
    <x v="2"/>
    <x v="3"/>
  </r>
  <r>
    <n v="57"/>
    <x v="0"/>
    <n v="0"/>
    <n v="152"/>
    <n v="274"/>
    <n v="0"/>
    <n v="1"/>
    <n v="88"/>
    <n v="1"/>
    <n v="1.2"/>
    <n v="1"/>
    <n v="1"/>
    <n v="3"/>
    <n v="0"/>
    <x v="0"/>
    <x v="0"/>
    <x v="0"/>
    <s v="Normal"/>
    <x v="1"/>
    <x v="2"/>
    <x v="1"/>
  </r>
  <r>
    <n v="63"/>
    <x v="1"/>
    <n v="0"/>
    <n v="124"/>
    <n v="197"/>
    <n v="0"/>
    <n v="1"/>
    <n v="136"/>
    <n v="1"/>
    <n v="0"/>
    <n v="1"/>
    <n v="0"/>
    <n v="2"/>
    <n v="0"/>
    <x v="1"/>
    <x v="0"/>
    <x v="0"/>
    <s v="Normal"/>
    <x v="1"/>
    <x v="0"/>
    <x v="0"/>
  </r>
  <r>
    <n v="61"/>
    <x v="0"/>
    <n v="3"/>
    <n v="134"/>
    <n v="234"/>
    <n v="0"/>
    <n v="1"/>
    <n v="145"/>
    <n v="0"/>
    <n v="2.6"/>
    <n v="1"/>
    <n v="2"/>
    <n v="2"/>
    <n v="0"/>
    <x v="0"/>
    <x v="0"/>
    <x v="3"/>
    <s v="Normal"/>
    <x v="0"/>
    <x v="1"/>
    <x v="2"/>
  </r>
  <r>
    <n v="34"/>
    <x v="0"/>
    <n v="3"/>
    <n v="118"/>
    <n v="182"/>
    <n v="0"/>
    <n v="0"/>
    <n v="174"/>
    <n v="0"/>
    <n v="0"/>
    <n v="2"/>
    <n v="0"/>
    <n v="2"/>
    <n v="1"/>
    <x v="0"/>
    <x v="1"/>
    <x v="3"/>
    <s v="Normal"/>
    <x v="0"/>
    <x v="1"/>
    <x v="3"/>
  </r>
  <r>
    <n v="47"/>
    <x v="0"/>
    <n v="0"/>
    <n v="112"/>
    <n v="204"/>
    <n v="0"/>
    <n v="1"/>
    <n v="143"/>
    <n v="0"/>
    <n v="0.1"/>
    <n v="2"/>
    <n v="0"/>
    <n v="2"/>
    <n v="1"/>
    <x v="0"/>
    <x v="1"/>
    <x v="0"/>
    <s v="Normal"/>
    <x v="0"/>
    <x v="3"/>
    <x v="3"/>
  </r>
  <r>
    <n v="40"/>
    <x v="0"/>
    <n v="0"/>
    <n v="110"/>
    <n v="167"/>
    <n v="0"/>
    <n v="0"/>
    <n v="114"/>
    <n v="1"/>
    <n v="2"/>
    <n v="1"/>
    <n v="0"/>
    <n v="3"/>
    <n v="0"/>
    <x v="0"/>
    <x v="0"/>
    <x v="0"/>
    <s v="Normal"/>
    <x v="1"/>
    <x v="2"/>
    <x v="3"/>
  </r>
  <r>
    <n v="51"/>
    <x v="1"/>
    <n v="2"/>
    <n v="120"/>
    <n v="295"/>
    <n v="0"/>
    <n v="0"/>
    <n v="157"/>
    <n v="0"/>
    <n v="0.6"/>
    <n v="2"/>
    <n v="0"/>
    <n v="2"/>
    <n v="1"/>
    <x v="1"/>
    <x v="1"/>
    <x v="2"/>
    <s v="Normal"/>
    <x v="0"/>
    <x v="2"/>
    <x v="0"/>
  </r>
  <r>
    <n v="41"/>
    <x v="0"/>
    <n v="0"/>
    <n v="110"/>
    <n v="172"/>
    <n v="0"/>
    <n v="0"/>
    <n v="158"/>
    <n v="0"/>
    <n v="0"/>
    <n v="2"/>
    <n v="0"/>
    <n v="3"/>
    <n v="0"/>
    <x v="0"/>
    <x v="0"/>
    <x v="0"/>
    <s v="Normal"/>
    <x v="0"/>
    <x v="0"/>
    <x v="3"/>
  </r>
  <r>
    <n v="52"/>
    <x v="0"/>
    <n v="3"/>
    <n v="152"/>
    <n v="298"/>
    <n v="1"/>
    <n v="1"/>
    <n v="178"/>
    <n v="0"/>
    <n v="1.2"/>
    <n v="1"/>
    <n v="0"/>
    <n v="3"/>
    <n v="1"/>
    <x v="0"/>
    <x v="1"/>
    <x v="3"/>
    <s v="High"/>
    <x v="0"/>
    <x v="2"/>
    <x v="1"/>
  </r>
  <r>
    <n v="39"/>
    <x v="0"/>
    <n v="2"/>
    <n v="140"/>
    <n v="321"/>
    <n v="0"/>
    <n v="0"/>
    <n v="182"/>
    <n v="0"/>
    <n v="0"/>
    <n v="2"/>
    <n v="0"/>
    <n v="2"/>
    <n v="1"/>
    <x v="0"/>
    <x v="1"/>
    <x v="2"/>
    <s v="Normal"/>
    <x v="0"/>
    <x v="0"/>
    <x v="1"/>
  </r>
  <r>
    <n v="58"/>
    <x v="0"/>
    <n v="0"/>
    <n v="114"/>
    <n v="318"/>
    <n v="0"/>
    <n v="2"/>
    <n v="140"/>
    <n v="0"/>
    <n v="4.4000000000000004"/>
    <n v="0"/>
    <n v="3"/>
    <n v="1"/>
    <n v="0"/>
    <x v="0"/>
    <x v="0"/>
    <x v="0"/>
    <s v="Normal"/>
    <x v="0"/>
    <x v="3"/>
    <x v="3"/>
  </r>
  <r>
    <n v="54"/>
    <x v="0"/>
    <n v="1"/>
    <n v="192"/>
    <n v="283"/>
    <n v="0"/>
    <n v="0"/>
    <n v="195"/>
    <n v="0"/>
    <n v="0"/>
    <n v="2"/>
    <n v="1"/>
    <n v="3"/>
    <n v="0"/>
    <x v="0"/>
    <x v="0"/>
    <x v="1"/>
    <s v="Normal"/>
    <x v="0"/>
    <x v="0"/>
    <x v="1"/>
  </r>
  <r>
    <n v="58"/>
    <x v="0"/>
    <n v="0"/>
    <n v="125"/>
    <n v="300"/>
    <n v="0"/>
    <n v="0"/>
    <n v="171"/>
    <n v="0"/>
    <n v="0"/>
    <n v="2"/>
    <n v="2"/>
    <n v="3"/>
    <n v="0"/>
    <x v="0"/>
    <x v="0"/>
    <x v="0"/>
    <s v="Normal"/>
    <x v="0"/>
    <x v="0"/>
    <x v="0"/>
  </r>
  <r>
    <n v="54"/>
    <x v="0"/>
    <n v="2"/>
    <n v="120"/>
    <n v="258"/>
    <n v="0"/>
    <n v="0"/>
    <n v="147"/>
    <n v="0"/>
    <n v="0.4"/>
    <n v="1"/>
    <n v="0"/>
    <n v="3"/>
    <n v="1"/>
    <x v="0"/>
    <x v="1"/>
    <x v="2"/>
    <s v="Normal"/>
    <x v="0"/>
    <x v="0"/>
    <x v="0"/>
  </r>
  <r>
    <n v="63"/>
    <x v="0"/>
    <n v="0"/>
    <n v="130"/>
    <n v="330"/>
    <n v="1"/>
    <n v="0"/>
    <n v="132"/>
    <n v="1"/>
    <n v="1.8"/>
    <n v="2"/>
    <n v="3"/>
    <n v="3"/>
    <n v="0"/>
    <x v="0"/>
    <x v="0"/>
    <x v="0"/>
    <s v="High"/>
    <x v="1"/>
    <x v="0"/>
    <x v="2"/>
  </r>
  <r>
    <n v="54"/>
    <x v="0"/>
    <n v="1"/>
    <n v="108"/>
    <n v="309"/>
    <n v="0"/>
    <n v="1"/>
    <n v="156"/>
    <n v="0"/>
    <n v="0"/>
    <n v="2"/>
    <n v="0"/>
    <n v="3"/>
    <n v="1"/>
    <x v="0"/>
    <x v="1"/>
    <x v="1"/>
    <s v="Normal"/>
    <x v="0"/>
    <x v="1"/>
    <x v="3"/>
  </r>
  <r>
    <n v="40"/>
    <x v="0"/>
    <n v="3"/>
    <n v="140"/>
    <n v="199"/>
    <n v="0"/>
    <n v="1"/>
    <n v="178"/>
    <n v="1"/>
    <n v="1.4"/>
    <n v="2"/>
    <n v="0"/>
    <n v="3"/>
    <n v="1"/>
    <x v="0"/>
    <x v="1"/>
    <x v="3"/>
    <s v="Normal"/>
    <x v="1"/>
    <x v="0"/>
    <x v="1"/>
  </r>
  <r>
    <n v="54"/>
    <x v="0"/>
    <n v="2"/>
    <n v="120"/>
    <n v="258"/>
    <n v="0"/>
    <n v="0"/>
    <n v="147"/>
    <n v="0"/>
    <n v="0.4"/>
    <n v="1"/>
    <n v="0"/>
    <n v="3"/>
    <n v="1"/>
    <x v="0"/>
    <x v="1"/>
    <x v="2"/>
    <s v="Normal"/>
    <x v="0"/>
    <x v="2"/>
    <x v="0"/>
  </r>
  <r>
    <n v="67"/>
    <x v="1"/>
    <n v="2"/>
    <n v="115"/>
    <n v="564"/>
    <n v="0"/>
    <n v="0"/>
    <n v="160"/>
    <n v="0"/>
    <n v="1.6"/>
    <n v="1"/>
    <n v="0"/>
    <n v="3"/>
    <n v="1"/>
    <x v="1"/>
    <x v="1"/>
    <x v="2"/>
    <s v="Normal"/>
    <x v="0"/>
    <x v="0"/>
    <x v="3"/>
  </r>
  <r>
    <n v="41"/>
    <x v="0"/>
    <n v="1"/>
    <n v="120"/>
    <n v="157"/>
    <n v="0"/>
    <n v="1"/>
    <n v="182"/>
    <n v="0"/>
    <n v="0"/>
    <n v="2"/>
    <n v="0"/>
    <n v="2"/>
    <n v="1"/>
    <x v="0"/>
    <x v="1"/>
    <x v="1"/>
    <s v="Normal"/>
    <x v="0"/>
    <x v="1"/>
    <x v="0"/>
  </r>
  <r>
    <n v="77"/>
    <x v="0"/>
    <n v="0"/>
    <n v="125"/>
    <n v="304"/>
    <n v="0"/>
    <n v="0"/>
    <n v="162"/>
    <n v="1"/>
    <n v="0"/>
    <n v="2"/>
    <n v="3"/>
    <n v="2"/>
    <n v="0"/>
    <x v="0"/>
    <x v="0"/>
    <x v="0"/>
    <s v="Normal"/>
    <x v="1"/>
    <x v="2"/>
    <x v="0"/>
  </r>
  <r>
    <n v="51"/>
    <x v="0"/>
    <n v="2"/>
    <n v="100"/>
    <n v="222"/>
    <n v="0"/>
    <n v="1"/>
    <n v="143"/>
    <n v="1"/>
    <n v="1.2"/>
    <n v="1"/>
    <n v="0"/>
    <n v="2"/>
    <n v="1"/>
    <x v="0"/>
    <x v="1"/>
    <x v="2"/>
    <s v="Normal"/>
    <x v="1"/>
    <x v="1"/>
    <x v="3"/>
  </r>
  <r>
    <n v="77"/>
    <x v="0"/>
    <n v="0"/>
    <n v="125"/>
    <n v="304"/>
    <n v="0"/>
    <n v="0"/>
    <n v="162"/>
    <n v="1"/>
    <n v="0"/>
    <n v="2"/>
    <n v="3"/>
    <n v="2"/>
    <n v="0"/>
    <x v="0"/>
    <x v="0"/>
    <x v="0"/>
    <s v="Normal"/>
    <x v="1"/>
    <x v="0"/>
    <x v="0"/>
  </r>
  <r>
    <n v="48"/>
    <x v="0"/>
    <n v="0"/>
    <n v="124"/>
    <n v="274"/>
    <n v="0"/>
    <n v="0"/>
    <n v="166"/>
    <n v="0"/>
    <n v="0.5"/>
    <n v="1"/>
    <n v="0"/>
    <n v="3"/>
    <n v="0"/>
    <x v="0"/>
    <x v="0"/>
    <x v="0"/>
    <s v="Normal"/>
    <x v="0"/>
    <x v="1"/>
    <x v="0"/>
  </r>
  <r>
    <n v="56"/>
    <x v="0"/>
    <n v="0"/>
    <n v="125"/>
    <n v="249"/>
    <n v="1"/>
    <n v="0"/>
    <n v="144"/>
    <n v="1"/>
    <n v="1.2"/>
    <n v="1"/>
    <n v="1"/>
    <n v="2"/>
    <n v="0"/>
    <x v="0"/>
    <x v="0"/>
    <x v="0"/>
    <s v="High"/>
    <x v="1"/>
    <x v="2"/>
    <x v="0"/>
  </r>
  <r>
    <n v="59"/>
    <x v="0"/>
    <n v="0"/>
    <n v="170"/>
    <n v="326"/>
    <n v="0"/>
    <n v="0"/>
    <n v="140"/>
    <n v="1"/>
    <n v="3.4"/>
    <n v="0"/>
    <n v="0"/>
    <n v="3"/>
    <n v="0"/>
    <x v="0"/>
    <x v="0"/>
    <x v="0"/>
    <s v="Normal"/>
    <x v="1"/>
    <x v="0"/>
    <x v="1"/>
  </r>
  <r>
    <n v="56"/>
    <x v="0"/>
    <n v="0"/>
    <n v="132"/>
    <n v="184"/>
    <n v="0"/>
    <n v="0"/>
    <n v="105"/>
    <n v="1"/>
    <n v="2.1"/>
    <n v="1"/>
    <n v="1"/>
    <n v="1"/>
    <n v="0"/>
    <x v="0"/>
    <x v="0"/>
    <x v="0"/>
    <s v="Normal"/>
    <x v="1"/>
    <x v="0"/>
    <x v="2"/>
  </r>
  <r>
    <n v="57"/>
    <x v="1"/>
    <n v="0"/>
    <n v="120"/>
    <n v="354"/>
    <n v="0"/>
    <n v="1"/>
    <n v="163"/>
    <n v="1"/>
    <n v="0.6"/>
    <n v="2"/>
    <n v="0"/>
    <n v="2"/>
    <n v="1"/>
    <x v="1"/>
    <x v="1"/>
    <x v="0"/>
    <s v="Normal"/>
    <x v="1"/>
    <x v="0"/>
    <x v="0"/>
  </r>
  <r>
    <n v="43"/>
    <x v="0"/>
    <n v="2"/>
    <n v="130"/>
    <n v="315"/>
    <n v="0"/>
    <n v="1"/>
    <n v="162"/>
    <n v="0"/>
    <n v="1.9"/>
    <n v="2"/>
    <n v="1"/>
    <n v="2"/>
    <n v="1"/>
    <x v="0"/>
    <x v="1"/>
    <x v="2"/>
    <s v="Normal"/>
    <x v="0"/>
    <x v="0"/>
    <x v="2"/>
  </r>
  <r>
    <n v="45"/>
    <x v="1"/>
    <n v="1"/>
    <n v="112"/>
    <n v="160"/>
    <n v="0"/>
    <n v="1"/>
    <n v="138"/>
    <n v="0"/>
    <n v="0"/>
    <n v="1"/>
    <n v="0"/>
    <n v="2"/>
    <n v="1"/>
    <x v="1"/>
    <x v="1"/>
    <x v="1"/>
    <s v="Normal"/>
    <x v="0"/>
    <x v="2"/>
    <x v="3"/>
  </r>
  <r>
    <n v="43"/>
    <x v="0"/>
    <n v="0"/>
    <n v="150"/>
    <n v="247"/>
    <n v="0"/>
    <n v="1"/>
    <n v="171"/>
    <n v="0"/>
    <n v="1.5"/>
    <n v="2"/>
    <n v="0"/>
    <n v="2"/>
    <n v="1"/>
    <x v="0"/>
    <x v="1"/>
    <x v="0"/>
    <s v="Normal"/>
    <x v="0"/>
    <x v="2"/>
    <x v="1"/>
  </r>
  <r>
    <n v="56"/>
    <x v="0"/>
    <n v="0"/>
    <n v="130"/>
    <n v="283"/>
    <n v="1"/>
    <n v="0"/>
    <n v="103"/>
    <n v="1"/>
    <n v="1.6"/>
    <n v="0"/>
    <n v="0"/>
    <n v="3"/>
    <n v="0"/>
    <x v="0"/>
    <x v="0"/>
    <x v="0"/>
    <s v="High"/>
    <x v="1"/>
    <x v="2"/>
    <x v="2"/>
  </r>
  <r>
    <n v="56"/>
    <x v="0"/>
    <n v="1"/>
    <n v="120"/>
    <n v="240"/>
    <n v="0"/>
    <n v="1"/>
    <n v="169"/>
    <n v="0"/>
    <n v="0"/>
    <n v="0"/>
    <n v="0"/>
    <n v="2"/>
    <n v="1"/>
    <x v="0"/>
    <x v="1"/>
    <x v="1"/>
    <s v="Normal"/>
    <x v="0"/>
    <x v="0"/>
    <x v="0"/>
  </r>
  <r>
    <n v="39"/>
    <x v="1"/>
    <n v="2"/>
    <n v="94"/>
    <n v="199"/>
    <n v="0"/>
    <n v="1"/>
    <n v="179"/>
    <n v="0"/>
    <n v="0"/>
    <n v="2"/>
    <n v="0"/>
    <n v="2"/>
    <n v="1"/>
    <x v="1"/>
    <x v="1"/>
    <x v="2"/>
    <s v="Normal"/>
    <x v="0"/>
    <x v="0"/>
    <x v="3"/>
  </r>
  <r>
    <n v="54"/>
    <x v="0"/>
    <n v="0"/>
    <n v="110"/>
    <n v="239"/>
    <n v="0"/>
    <n v="1"/>
    <n v="126"/>
    <n v="1"/>
    <n v="2.8"/>
    <n v="1"/>
    <n v="1"/>
    <n v="3"/>
    <n v="0"/>
    <x v="0"/>
    <x v="0"/>
    <x v="0"/>
    <s v="Normal"/>
    <x v="1"/>
    <x v="3"/>
    <x v="3"/>
  </r>
  <r>
    <n v="56"/>
    <x v="1"/>
    <n v="0"/>
    <n v="200"/>
    <n v="288"/>
    <n v="1"/>
    <n v="0"/>
    <n v="133"/>
    <n v="1"/>
    <n v="4"/>
    <n v="0"/>
    <n v="2"/>
    <n v="3"/>
    <n v="0"/>
    <x v="1"/>
    <x v="0"/>
    <x v="0"/>
    <s v="High"/>
    <x v="1"/>
    <x v="0"/>
    <x v="1"/>
  </r>
  <r>
    <n v="56"/>
    <x v="0"/>
    <n v="0"/>
    <n v="130"/>
    <n v="283"/>
    <n v="1"/>
    <n v="0"/>
    <n v="103"/>
    <n v="1"/>
    <n v="1.6"/>
    <n v="0"/>
    <n v="0"/>
    <n v="3"/>
    <n v="0"/>
    <x v="0"/>
    <x v="0"/>
    <x v="0"/>
    <s v="High"/>
    <x v="1"/>
    <x v="0"/>
    <x v="2"/>
  </r>
  <r>
    <n v="64"/>
    <x v="0"/>
    <n v="0"/>
    <n v="120"/>
    <n v="246"/>
    <n v="0"/>
    <n v="0"/>
    <n v="96"/>
    <n v="1"/>
    <n v="2.2000000000000002"/>
    <n v="0"/>
    <n v="1"/>
    <n v="2"/>
    <n v="0"/>
    <x v="0"/>
    <x v="0"/>
    <x v="0"/>
    <s v="Normal"/>
    <x v="1"/>
    <x v="0"/>
    <x v="0"/>
  </r>
  <r>
    <n v="44"/>
    <x v="0"/>
    <n v="0"/>
    <n v="110"/>
    <n v="197"/>
    <n v="0"/>
    <n v="0"/>
    <n v="177"/>
    <n v="0"/>
    <n v="0"/>
    <n v="2"/>
    <n v="1"/>
    <n v="2"/>
    <n v="0"/>
    <x v="0"/>
    <x v="0"/>
    <x v="0"/>
    <s v="Normal"/>
    <x v="0"/>
    <x v="1"/>
    <x v="3"/>
  </r>
  <r>
    <n v="56"/>
    <x v="1"/>
    <n v="0"/>
    <n v="134"/>
    <n v="409"/>
    <n v="0"/>
    <n v="0"/>
    <n v="150"/>
    <n v="1"/>
    <n v="1.9"/>
    <n v="1"/>
    <n v="2"/>
    <n v="3"/>
    <n v="0"/>
    <x v="1"/>
    <x v="0"/>
    <x v="0"/>
    <s v="Normal"/>
    <x v="1"/>
    <x v="2"/>
    <x v="2"/>
  </r>
  <r>
    <n v="63"/>
    <x v="0"/>
    <n v="0"/>
    <n v="140"/>
    <n v="187"/>
    <n v="0"/>
    <n v="0"/>
    <n v="144"/>
    <n v="1"/>
    <n v="4"/>
    <n v="2"/>
    <n v="2"/>
    <n v="3"/>
    <n v="0"/>
    <x v="0"/>
    <x v="0"/>
    <x v="0"/>
    <s v="Normal"/>
    <x v="1"/>
    <x v="0"/>
    <x v="1"/>
  </r>
  <r>
    <n v="64"/>
    <x v="0"/>
    <n v="3"/>
    <n v="110"/>
    <n v="211"/>
    <n v="0"/>
    <n v="0"/>
    <n v="144"/>
    <n v="1"/>
    <n v="1.8"/>
    <n v="1"/>
    <n v="0"/>
    <n v="2"/>
    <n v="1"/>
    <x v="0"/>
    <x v="1"/>
    <x v="3"/>
    <s v="Normal"/>
    <x v="1"/>
    <x v="1"/>
    <x v="3"/>
  </r>
  <r>
    <n v="60"/>
    <x v="0"/>
    <n v="0"/>
    <n v="140"/>
    <n v="293"/>
    <n v="0"/>
    <n v="0"/>
    <n v="170"/>
    <n v="0"/>
    <n v="1.2"/>
    <n v="1"/>
    <n v="2"/>
    <n v="3"/>
    <n v="0"/>
    <x v="0"/>
    <x v="0"/>
    <x v="0"/>
    <s v="Normal"/>
    <x v="0"/>
    <x v="1"/>
    <x v="1"/>
  </r>
  <r>
    <n v="42"/>
    <x v="0"/>
    <n v="2"/>
    <n v="130"/>
    <n v="180"/>
    <n v="0"/>
    <n v="1"/>
    <n v="150"/>
    <n v="0"/>
    <n v="0"/>
    <n v="2"/>
    <n v="0"/>
    <n v="2"/>
    <n v="1"/>
    <x v="0"/>
    <x v="1"/>
    <x v="2"/>
    <s v="Normal"/>
    <x v="0"/>
    <x v="1"/>
    <x v="2"/>
  </r>
  <r>
    <n v="45"/>
    <x v="0"/>
    <n v="1"/>
    <n v="128"/>
    <n v="308"/>
    <n v="0"/>
    <n v="0"/>
    <n v="170"/>
    <n v="0"/>
    <n v="0"/>
    <n v="2"/>
    <n v="0"/>
    <n v="2"/>
    <n v="1"/>
    <x v="0"/>
    <x v="1"/>
    <x v="1"/>
    <s v="Normal"/>
    <x v="0"/>
    <x v="2"/>
    <x v="0"/>
  </r>
  <r>
    <n v="57"/>
    <x v="0"/>
    <n v="0"/>
    <n v="165"/>
    <n v="289"/>
    <n v="1"/>
    <n v="0"/>
    <n v="124"/>
    <n v="0"/>
    <n v="1"/>
    <n v="1"/>
    <n v="3"/>
    <n v="3"/>
    <n v="0"/>
    <x v="0"/>
    <x v="0"/>
    <x v="0"/>
    <s v="High"/>
    <x v="0"/>
    <x v="2"/>
    <x v="1"/>
  </r>
  <r>
    <n v="40"/>
    <x v="0"/>
    <n v="0"/>
    <n v="110"/>
    <n v="167"/>
    <n v="0"/>
    <n v="0"/>
    <n v="114"/>
    <n v="1"/>
    <n v="2"/>
    <n v="1"/>
    <n v="0"/>
    <n v="3"/>
    <n v="0"/>
    <x v="0"/>
    <x v="0"/>
    <x v="0"/>
    <s v="Normal"/>
    <x v="1"/>
    <x v="0"/>
    <x v="3"/>
  </r>
  <r>
    <n v="56"/>
    <x v="0"/>
    <n v="0"/>
    <n v="125"/>
    <n v="249"/>
    <n v="1"/>
    <n v="0"/>
    <n v="144"/>
    <n v="1"/>
    <n v="1.2"/>
    <n v="1"/>
    <n v="1"/>
    <n v="2"/>
    <n v="0"/>
    <x v="0"/>
    <x v="0"/>
    <x v="0"/>
    <s v="High"/>
    <x v="1"/>
    <x v="2"/>
    <x v="0"/>
  </r>
  <r>
    <n v="63"/>
    <x v="0"/>
    <n v="0"/>
    <n v="130"/>
    <n v="254"/>
    <n v="0"/>
    <n v="0"/>
    <n v="147"/>
    <n v="0"/>
    <n v="1.4"/>
    <n v="1"/>
    <n v="1"/>
    <n v="3"/>
    <n v="0"/>
    <x v="0"/>
    <x v="0"/>
    <x v="0"/>
    <s v="Normal"/>
    <x v="0"/>
    <x v="0"/>
    <x v="2"/>
  </r>
  <r>
    <n v="64"/>
    <x v="0"/>
    <n v="2"/>
    <n v="125"/>
    <n v="309"/>
    <n v="0"/>
    <n v="1"/>
    <n v="131"/>
    <n v="1"/>
    <n v="1.8"/>
    <n v="1"/>
    <n v="0"/>
    <n v="3"/>
    <n v="0"/>
    <x v="0"/>
    <x v="0"/>
    <x v="2"/>
    <s v="Normal"/>
    <x v="1"/>
    <x v="1"/>
    <x v="0"/>
  </r>
  <r>
    <n v="41"/>
    <x v="0"/>
    <n v="2"/>
    <n v="112"/>
    <n v="250"/>
    <n v="0"/>
    <n v="1"/>
    <n v="179"/>
    <n v="0"/>
    <n v="0"/>
    <n v="2"/>
    <n v="0"/>
    <n v="2"/>
    <n v="1"/>
    <x v="0"/>
    <x v="1"/>
    <x v="2"/>
    <s v="Normal"/>
    <x v="0"/>
    <x v="1"/>
    <x v="3"/>
  </r>
  <r>
    <n v="56"/>
    <x v="0"/>
    <n v="1"/>
    <n v="130"/>
    <n v="221"/>
    <n v="0"/>
    <n v="0"/>
    <n v="163"/>
    <n v="0"/>
    <n v="0"/>
    <n v="2"/>
    <n v="0"/>
    <n v="3"/>
    <n v="1"/>
    <x v="0"/>
    <x v="1"/>
    <x v="1"/>
    <s v="Normal"/>
    <x v="0"/>
    <x v="2"/>
    <x v="2"/>
  </r>
  <r>
    <n v="67"/>
    <x v="1"/>
    <n v="2"/>
    <n v="115"/>
    <n v="564"/>
    <n v="0"/>
    <n v="0"/>
    <n v="160"/>
    <n v="0"/>
    <n v="1.6"/>
    <n v="1"/>
    <n v="0"/>
    <n v="3"/>
    <n v="1"/>
    <x v="1"/>
    <x v="1"/>
    <x v="2"/>
    <s v="Normal"/>
    <x v="0"/>
    <x v="0"/>
    <x v="3"/>
  </r>
  <r>
    <n v="69"/>
    <x v="0"/>
    <n v="3"/>
    <n v="160"/>
    <n v="234"/>
    <n v="1"/>
    <n v="0"/>
    <n v="131"/>
    <n v="0"/>
    <n v="0.1"/>
    <n v="1"/>
    <n v="1"/>
    <n v="2"/>
    <n v="1"/>
    <x v="0"/>
    <x v="1"/>
    <x v="3"/>
    <s v="High"/>
    <x v="0"/>
    <x v="1"/>
    <x v="1"/>
  </r>
  <r>
    <n v="67"/>
    <x v="0"/>
    <n v="0"/>
    <n v="160"/>
    <n v="286"/>
    <n v="0"/>
    <n v="0"/>
    <n v="108"/>
    <n v="1"/>
    <n v="1.5"/>
    <n v="1"/>
    <n v="3"/>
    <n v="2"/>
    <n v="0"/>
    <x v="0"/>
    <x v="0"/>
    <x v="0"/>
    <s v="Normal"/>
    <x v="1"/>
    <x v="1"/>
    <x v="1"/>
  </r>
  <r>
    <n v="59"/>
    <x v="0"/>
    <n v="2"/>
    <n v="150"/>
    <n v="212"/>
    <n v="1"/>
    <n v="1"/>
    <n v="157"/>
    <n v="0"/>
    <n v="1.6"/>
    <n v="2"/>
    <n v="0"/>
    <n v="2"/>
    <n v="1"/>
    <x v="0"/>
    <x v="1"/>
    <x v="2"/>
    <s v="High"/>
    <x v="0"/>
    <x v="1"/>
    <x v="1"/>
  </r>
  <r>
    <n v="58"/>
    <x v="0"/>
    <n v="0"/>
    <n v="100"/>
    <n v="234"/>
    <n v="0"/>
    <n v="1"/>
    <n v="156"/>
    <n v="0"/>
    <n v="0.1"/>
    <n v="2"/>
    <n v="1"/>
    <n v="3"/>
    <n v="0"/>
    <x v="0"/>
    <x v="0"/>
    <x v="0"/>
    <s v="Normal"/>
    <x v="0"/>
    <x v="0"/>
    <x v="3"/>
  </r>
  <r>
    <n v="45"/>
    <x v="0"/>
    <n v="0"/>
    <n v="115"/>
    <n v="260"/>
    <n v="0"/>
    <n v="0"/>
    <n v="185"/>
    <n v="0"/>
    <n v="0"/>
    <n v="2"/>
    <n v="0"/>
    <n v="2"/>
    <n v="1"/>
    <x v="0"/>
    <x v="1"/>
    <x v="0"/>
    <s v="Normal"/>
    <x v="0"/>
    <x v="0"/>
    <x v="3"/>
  </r>
  <r>
    <n v="60"/>
    <x v="1"/>
    <n v="2"/>
    <n v="102"/>
    <n v="318"/>
    <n v="0"/>
    <n v="1"/>
    <n v="160"/>
    <n v="0"/>
    <n v="0"/>
    <n v="2"/>
    <n v="1"/>
    <n v="2"/>
    <n v="1"/>
    <x v="1"/>
    <x v="1"/>
    <x v="2"/>
    <s v="Normal"/>
    <x v="0"/>
    <x v="2"/>
    <x v="3"/>
  </r>
  <r>
    <n v="50"/>
    <x v="0"/>
    <n v="0"/>
    <n v="144"/>
    <n v="200"/>
    <n v="0"/>
    <n v="0"/>
    <n v="126"/>
    <n v="1"/>
    <n v="0.9"/>
    <n v="1"/>
    <n v="0"/>
    <n v="3"/>
    <n v="0"/>
    <x v="0"/>
    <x v="0"/>
    <x v="0"/>
    <s v="Normal"/>
    <x v="1"/>
    <x v="1"/>
    <x v="1"/>
  </r>
  <r>
    <n v="62"/>
    <x v="1"/>
    <n v="0"/>
    <n v="124"/>
    <n v="209"/>
    <n v="0"/>
    <n v="1"/>
    <n v="163"/>
    <n v="0"/>
    <n v="0"/>
    <n v="2"/>
    <n v="0"/>
    <n v="2"/>
    <n v="1"/>
    <x v="1"/>
    <x v="1"/>
    <x v="0"/>
    <s v="Normal"/>
    <x v="0"/>
    <x v="0"/>
    <x v="0"/>
  </r>
  <r>
    <n v="34"/>
    <x v="0"/>
    <n v="3"/>
    <n v="118"/>
    <n v="182"/>
    <n v="0"/>
    <n v="0"/>
    <n v="174"/>
    <n v="0"/>
    <n v="0"/>
    <n v="2"/>
    <n v="0"/>
    <n v="2"/>
    <n v="1"/>
    <x v="0"/>
    <x v="1"/>
    <x v="3"/>
    <s v="Normal"/>
    <x v="0"/>
    <x v="1"/>
    <x v="3"/>
  </r>
  <r>
    <n v="52"/>
    <x v="0"/>
    <n v="3"/>
    <n v="152"/>
    <n v="298"/>
    <n v="1"/>
    <n v="1"/>
    <n v="178"/>
    <n v="0"/>
    <n v="1.2"/>
    <n v="1"/>
    <n v="0"/>
    <n v="3"/>
    <n v="1"/>
    <x v="0"/>
    <x v="1"/>
    <x v="3"/>
    <s v="High"/>
    <x v="0"/>
    <x v="3"/>
    <x v="1"/>
  </r>
  <r>
    <n v="64"/>
    <x v="0"/>
    <n v="3"/>
    <n v="170"/>
    <n v="227"/>
    <n v="0"/>
    <n v="0"/>
    <n v="155"/>
    <n v="0"/>
    <n v="0.6"/>
    <n v="1"/>
    <n v="0"/>
    <n v="3"/>
    <n v="1"/>
    <x v="0"/>
    <x v="1"/>
    <x v="3"/>
    <s v="Normal"/>
    <x v="0"/>
    <x v="0"/>
    <x v="1"/>
  </r>
  <r>
    <n v="66"/>
    <x v="1"/>
    <n v="2"/>
    <n v="146"/>
    <n v="278"/>
    <n v="0"/>
    <n v="0"/>
    <n v="152"/>
    <n v="0"/>
    <n v="0"/>
    <n v="1"/>
    <n v="1"/>
    <n v="2"/>
    <n v="1"/>
    <x v="1"/>
    <x v="1"/>
    <x v="2"/>
    <s v="Normal"/>
    <x v="0"/>
    <x v="1"/>
    <x v="1"/>
  </r>
  <r>
    <n v="42"/>
    <x v="0"/>
    <n v="3"/>
    <n v="148"/>
    <n v="244"/>
    <n v="0"/>
    <n v="0"/>
    <n v="178"/>
    <n v="0"/>
    <n v="0.8"/>
    <n v="2"/>
    <n v="2"/>
    <n v="2"/>
    <n v="1"/>
    <x v="0"/>
    <x v="1"/>
    <x v="3"/>
    <s v="Normal"/>
    <x v="0"/>
    <x v="1"/>
    <x v="1"/>
  </r>
  <r>
    <n v="59"/>
    <x v="0"/>
    <n v="2"/>
    <n v="126"/>
    <n v="218"/>
    <n v="1"/>
    <n v="1"/>
    <n v="134"/>
    <n v="0"/>
    <n v="2.2000000000000002"/>
    <n v="1"/>
    <n v="1"/>
    <n v="1"/>
    <n v="0"/>
    <x v="0"/>
    <x v="0"/>
    <x v="2"/>
    <s v="High"/>
    <x v="0"/>
    <x v="2"/>
    <x v="0"/>
  </r>
  <r>
    <n v="41"/>
    <x v="0"/>
    <n v="2"/>
    <n v="112"/>
    <n v="250"/>
    <n v="0"/>
    <n v="1"/>
    <n v="179"/>
    <n v="0"/>
    <n v="0"/>
    <n v="2"/>
    <n v="0"/>
    <n v="2"/>
    <n v="1"/>
    <x v="0"/>
    <x v="1"/>
    <x v="2"/>
    <s v="Normal"/>
    <x v="0"/>
    <x v="0"/>
    <x v="3"/>
  </r>
  <r>
    <n v="38"/>
    <x v="0"/>
    <n v="2"/>
    <n v="138"/>
    <n v="175"/>
    <n v="0"/>
    <n v="1"/>
    <n v="173"/>
    <n v="0"/>
    <n v="0"/>
    <n v="2"/>
    <n v="4"/>
    <n v="2"/>
    <n v="1"/>
    <x v="0"/>
    <x v="1"/>
    <x v="2"/>
    <s v="Normal"/>
    <x v="0"/>
    <x v="2"/>
    <x v="2"/>
  </r>
  <r>
    <n v="62"/>
    <x v="0"/>
    <n v="1"/>
    <n v="120"/>
    <n v="281"/>
    <n v="0"/>
    <n v="0"/>
    <n v="103"/>
    <n v="0"/>
    <n v="1.4"/>
    <n v="1"/>
    <n v="1"/>
    <n v="3"/>
    <n v="0"/>
    <x v="0"/>
    <x v="0"/>
    <x v="1"/>
    <s v="Normal"/>
    <x v="0"/>
    <x v="3"/>
    <x v="0"/>
  </r>
  <r>
    <n v="42"/>
    <x v="0"/>
    <n v="2"/>
    <n v="120"/>
    <n v="240"/>
    <n v="1"/>
    <n v="1"/>
    <n v="194"/>
    <n v="0"/>
    <n v="0.8"/>
    <n v="0"/>
    <n v="0"/>
    <n v="3"/>
    <n v="1"/>
    <x v="0"/>
    <x v="1"/>
    <x v="2"/>
    <s v="High"/>
    <x v="0"/>
    <x v="1"/>
    <x v="0"/>
  </r>
  <r>
    <n v="67"/>
    <x v="0"/>
    <n v="0"/>
    <n v="100"/>
    <n v="299"/>
    <n v="0"/>
    <n v="0"/>
    <n v="125"/>
    <n v="1"/>
    <n v="0.9"/>
    <n v="1"/>
    <n v="2"/>
    <n v="2"/>
    <n v="0"/>
    <x v="0"/>
    <x v="0"/>
    <x v="0"/>
    <s v="Normal"/>
    <x v="1"/>
    <x v="2"/>
    <x v="3"/>
  </r>
  <r>
    <n v="50"/>
    <x v="0"/>
    <n v="0"/>
    <n v="150"/>
    <n v="243"/>
    <n v="0"/>
    <n v="0"/>
    <n v="128"/>
    <n v="0"/>
    <n v="2.6"/>
    <n v="1"/>
    <n v="0"/>
    <n v="3"/>
    <n v="0"/>
    <x v="0"/>
    <x v="0"/>
    <x v="0"/>
    <s v="Normal"/>
    <x v="0"/>
    <x v="1"/>
    <x v="1"/>
  </r>
  <r>
    <n v="43"/>
    <x v="0"/>
    <n v="2"/>
    <n v="130"/>
    <n v="315"/>
    <n v="0"/>
    <n v="1"/>
    <n v="162"/>
    <n v="0"/>
    <n v="1.9"/>
    <n v="2"/>
    <n v="1"/>
    <n v="2"/>
    <n v="1"/>
    <x v="0"/>
    <x v="1"/>
    <x v="2"/>
    <s v="Normal"/>
    <x v="0"/>
    <x v="0"/>
    <x v="2"/>
  </r>
  <r>
    <n v="45"/>
    <x v="0"/>
    <n v="1"/>
    <n v="128"/>
    <n v="308"/>
    <n v="0"/>
    <n v="0"/>
    <n v="170"/>
    <n v="0"/>
    <n v="0"/>
    <n v="2"/>
    <n v="0"/>
    <n v="2"/>
    <n v="1"/>
    <x v="0"/>
    <x v="1"/>
    <x v="1"/>
    <s v="Normal"/>
    <x v="0"/>
    <x v="2"/>
    <x v="0"/>
  </r>
  <r>
    <n v="49"/>
    <x v="0"/>
    <n v="1"/>
    <n v="130"/>
    <n v="266"/>
    <n v="0"/>
    <n v="1"/>
    <n v="171"/>
    <n v="0"/>
    <n v="0.6"/>
    <n v="2"/>
    <n v="0"/>
    <n v="2"/>
    <n v="1"/>
    <x v="0"/>
    <x v="1"/>
    <x v="1"/>
    <s v="Normal"/>
    <x v="0"/>
    <x v="2"/>
    <x v="2"/>
  </r>
  <r>
    <n v="65"/>
    <x v="0"/>
    <n v="0"/>
    <n v="135"/>
    <n v="254"/>
    <n v="0"/>
    <n v="0"/>
    <n v="127"/>
    <n v="0"/>
    <n v="2.8"/>
    <n v="1"/>
    <n v="1"/>
    <n v="3"/>
    <n v="0"/>
    <x v="0"/>
    <x v="0"/>
    <x v="0"/>
    <s v="Normal"/>
    <x v="0"/>
    <x v="2"/>
    <x v="2"/>
  </r>
  <r>
    <n v="41"/>
    <x v="0"/>
    <n v="1"/>
    <n v="120"/>
    <n v="157"/>
    <n v="0"/>
    <n v="1"/>
    <n v="182"/>
    <n v="0"/>
    <n v="0"/>
    <n v="2"/>
    <n v="0"/>
    <n v="2"/>
    <n v="1"/>
    <x v="0"/>
    <x v="1"/>
    <x v="1"/>
    <s v="Normal"/>
    <x v="0"/>
    <x v="1"/>
    <x v="0"/>
  </r>
  <r>
    <n v="46"/>
    <x v="0"/>
    <n v="0"/>
    <n v="140"/>
    <n v="311"/>
    <n v="0"/>
    <n v="1"/>
    <n v="120"/>
    <n v="1"/>
    <n v="1.8"/>
    <n v="1"/>
    <n v="2"/>
    <n v="3"/>
    <n v="0"/>
    <x v="0"/>
    <x v="0"/>
    <x v="0"/>
    <s v="Normal"/>
    <x v="1"/>
    <x v="2"/>
    <x v="1"/>
  </r>
  <r>
    <n v="54"/>
    <x v="0"/>
    <n v="0"/>
    <n v="122"/>
    <n v="286"/>
    <n v="0"/>
    <n v="0"/>
    <n v="116"/>
    <n v="1"/>
    <n v="3.2"/>
    <n v="1"/>
    <n v="2"/>
    <n v="2"/>
    <n v="0"/>
    <x v="0"/>
    <x v="0"/>
    <x v="0"/>
    <s v="Normal"/>
    <x v="1"/>
    <x v="2"/>
    <x v="0"/>
  </r>
  <r>
    <n v="57"/>
    <x v="1"/>
    <n v="1"/>
    <n v="130"/>
    <n v="236"/>
    <n v="0"/>
    <n v="0"/>
    <n v="174"/>
    <n v="0"/>
    <n v="0"/>
    <n v="1"/>
    <n v="1"/>
    <n v="2"/>
    <n v="0"/>
    <x v="1"/>
    <x v="0"/>
    <x v="1"/>
    <s v="Normal"/>
    <x v="0"/>
    <x v="0"/>
    <x v="2"/>
  </r>
  <r>
    <n v="63"/>
    <x v="0"/>
    <n v="0"/>
    <n v="130"/>
    <n v="254"/>
    <n v="0"/>
    <n v="0"/>
    <n v="147"/>
    <n v="0"/>
    <n v="1.4"/>
    <n v="1"/>
    <n v="1"/>
    <n v="3"/>
    <n v="0"/>
    <x v="0"/>
    <x v="0"/>
    <x v="0"/>
    <s v="Normal"/>
    <x v="0"/>
    <x v="0"/>
    <x v="2"/>
  </r>
  <r>
    <n v="64"/>
    <x v="0"/>
    <n v="3"/>
    <n v="110"/>
    <n v="211"/>
    <n v="0"/>
    <n v="0"/>
    <n v="144"/>
    <n v="1"/>
    <n v="1.8"/>
    <n v="1"/>
    <n v="0"/>
    <n v="2"/>
    <n v="1"/>
    <x v="0"/>
    <x v="1"/>
    <x v="3"/>
    <s v="Normal"/>
    <x v="1"/>
    <x v="1"/>
    <x v="3"/>
  </r>
  <r>
    <n v="39"/>
    <x v="1"/>
    <n v="2"/>
    <n v="94"/>
    <n v="199"/>
    <n v="0"/>
    <n v="1"/>
    <n v="179"/>
    <n v="0"/>
    <n v="0"/>
    <n v="2"/>
    <n v="0"/>
    <n v="2"/>
    <n v="1"/>
    <x v="1"/>
    <x v="1"/>
    <x v="2"/>
    <s v="Normal"/>
    <x v="0"/>
    <x v="1"/>
    <x v="3"/>
  </r>
  <r>
    <n v="51"/>
    <x v="0"/>
    <n v="0"/>
    <n v="140"/>
    <n v="261"/>
    <n v="0"/>
    <n v="0"/>
    <n v="186"/>
    <n v="1"/>
    <n v="0"/>
    <n v="2"/>
    <n v="0"/>
    <n v="2"/>
    <n v="1"/>
    <x v="0"/>
    <x v="1"/>
    <x v="0"/>
    <s v="Normal"/>
    <x v="1"/>
    <x v="3"/>
    <x v="1"/>
  </r>
  <r>
    <n v="54"/>
    <x v="0"/>
    <n v="2"/>
    <n v="150"/>
    <n v="232"/>
    <n v="0"/>
    <n v="0"/>
    <n v="165"/>
    <n v="0"/>
    <n v="1.6"/>
    <n v="2"/>
    <n v="0"/>
    <n v="3"/>
    <n v="1"/>
    <x v="0"/>
    <x v="1"/>
    <x v="2"/>
    <s v="Normal"/>
    <x v="0"/>
    <x v="0"/>
    <x v="1"/>
  </r>
  <r>
    <n v="49"/>
    <x v="0"/>
    <n v="2"/>
    <n v="118"/>
    <n v="149"/>
    <n v="0"/>
    <n v="0"/>
    <n v="126"/>
    <n v="0"/>
    <n v="0.8"/>
    <n v="2"/>
    <n v="3"/>
    <n v="2"/>
    <n v="0"/>
    <x v="0"/>
    <x v="0"/>
    <x v="2"/>
    <s v="Normal"/>
    <x v="0"/>
    <x v="0"/>
    <x v="3"/>
  </r>
  <r>
    <n v="44"/>
    <x v="1"/>
    <n v="2"/>
    <n v="118"/>
    <n v="242"/>
    <n v="0"/>
    <n v="1"/>
    <n v="149"/>
    <n v="0"/>
    <n v="0.3"/>
    <n v="1"/>
    <n v="1"/>
    <n v="2"/>
    <n v="1"/>
    <x v="1"/>
    <x v="1"/>
    <x v="2"/>
    <s v="Normal"/>
    <x v="0"/>
    <x v="2"/>
    <x v="3"/>
  </r>
  <r>
    <n v="52"/>
    <x v="0"/>
    <n v="1"/>
    <n v="128"/>
    <n v="205"/>
    <n v="1"/>
    <n v="1"/>
    <n v="184"/>
    <n v="0"/>
    <n v="0"/>
    <n v="2"/>
    <n v="0"/>
    <n v="2"/>
    <n v="1"/>
    <x v="0"/>
    <x v="1"/>
    <x v="1"/>
    <s v="High"/>
    <x v="0"/>
    <x v="2"/>
    <x v="0"/>
  </r>
  <r>
    <n v="66"/>
    <x v="1"/>
    <n v="0"/>
    <n v="178"/>
    <n v="228"/>
    <n v="1"/>
    <n v="1"/>
    <n v="165"/>
    <n v="1"/>
    <n v="1"/>
    <n v="1"/>
    <n v="2"/>
    <n v="3"/>
    <n v="0"/>
    <x v="1"/>
    <x v="0"/>
    <x v="0"/>
    <s v="High"/>
    <x v="1"/>
    <x v="0"/>
    <x v="1"/>
  </r>
  <r>
    <n v="58"/>
    <x v="0"/>
    <n v="0"/>
    <n v="125"/>
    <n v="300"/>
    <n v="0"/>
    <n v="0"/>
    <n v="171"/>
    <n v="0"/>
    <n v="0"/>
    <n v="2"/>
    <n v="2"/>
    <n v="3"/>
    <n v="0"/>
    <x v="0"/>
    <x v="0"/>
    <x v="0"/>
    <s v="Normal"/>
    <x v="0"/>
    <x v="1"/>
    <x v="0"/>
  </r>
  <r>
    <n v="56"/>
    <x v="0"/>
    <n v="1"/>
    <n v="120"/>
    <n v="236"/>
    <n v="0"/>
    <n v="1"/>
    <n v="178"/>
    <n v="0"/>
    <n v="0.8"/>
    <n v="2"/>
    <n v="0"/>
    <n v="2"/>
    <n v="1"/>
    <x v="0"/>
    <x v="1"/>
    <x v="1"/>
    <s v="Normal"/>
    <x v="0"/>
    <x v="0"/>
    <x v="0"/>
  </r>
  <r>
    <n v="60"/>
    <x v="0"/>
    <n v="0"/>
    <n v="125"/>
    <n v="258"/>
    <n v="0"/>
    <n v="0"/>
    <n v="141"/>
    <n v="1"/>
    <n v="2.8"/>
    <n v="1"/>
    <n v="1"/>
    <n v="3"/>
    <n v="0"/>
    <x v="0"/>
    <x v="0"/>
    <x v="0"/>
    <s v="Normal"/>
    <x v="1"/>
    <x v="0"/>
    <x v="0"/>
  </r>
  <r>
    <n v="41"/>
    <x v="1"/>
    <n v="1"/>
    <n v="126"/>
    <n v="306"/>
    <n v="0"/>
    <n v="1"/>
    <n v="163"/>
    <n v="0"/>
    <n v="0"/>
    <n v="2"/>
    <n v="0"/>
    <n v="2"/>
    <n v="1"/>
    <x v="1"/>
    <x v="1"/>
    <x v="1"/>
    <s v="Normal"/>
    <x v="0"/>
    <x v="1"/>
    <x v="0"/>
  </r>
  <r>
    <n v="49"/>
    <x v="1"/>
    <n v="0"/>
    <n v="130"/>
    <n v="269"/>
    <n v="0"/>
    <n v="1"/>
    <n v="163"/>
    <n v="0"/>
    <n v="0"/>
    <n v="2"/>
    <n v="0"/>
    <n v="2"/>
    <n v="1"/>
    <x v="1"/>
    <x v="1"/>
    <x v="0"/>
    <s v="Normal"/>
    <x v="0"/>
    <x v="2"/>
    <x v="2"/>
  </r>
  <r>
    <n v="64"/>
    <x v="0"/>
    <n v="3"/>
    <n v="170"/>
    <n v="227"/>
    <n v="0"/>
    <n v="0"/>
    <n v="155"/>
    <n v="0"/>
    <n v="0.6"/>
    <n v="1"/>
    <n v="0"/>
    <n v="3"/>
    <n v="1"/>
    <x v="0"/>
    <x v="1"/>
    <x v="3"/>
    <s v="Normal"/>
    <x v="0"/>
    <x v="2"/>
    <x v="1"/>
  </r>
  <r>
    <n v="49"/>
    <x v="0"/>
    <n v="2"/>
    <n v="118"/>
    <n v="149"/>
    <n v="0"/>
    <n v="0"/>
    <n v="126"/>
    <n v="0"/>
    <n v="0.8"/>
    <n v="2"/>
    <n v="3"/>
    <n v="2"/>
    <n v="0"/>
    <x v="0"/>
    <x v="0"/>
    <x v="2"/>
    <s v="Normal"/>
    <x v="0"/>
    <x v="1"/>
    <x v="3"/>
  </r>
  <r>
    <n v="57"/>
    <x v="0"/>
    <n v="1"/>
    <n v="124"/>
    <n v="261"/>
    <n v="0"/>
    <n v="1"/>
    <n v="141"/>
    <n v="0"/>
    <n v="0.3"/>
    <n v="2"/>
    <n v="0"/>
    <n v="3"/>
    <n v="0"/>
    <x v="0"/>
    <x v="0"/>
    <x v="1"/>
    <s v="Normal"/>
    <x v="0"/>
    <x v="2"/>
    <x v="0"/>
  </r>
  <r>
    <n v="60"/>
    <x v="0"/>
    <n v="0"/>
    <n v="117"/>
    <n v="230"/>
    <n v="1"/>
    <n v="1"/>
    <n v="160"/>
    <n v="1"/>
    <n v="1.4"/>
    <n v="2"/>
    <n v="2"/>
    <n v="3"/>
    <n v="0"/>
    <x v="0"/>
    <x v="0"/>
    <x v="0"/>
    <s v="High"/>
    <x v="1"/>
    <x v="0"/>
    <x v="3"/>
  </r>
  <r>
    <n v="62"/>
    <x v="1"/>
    <n v="0"/>
    <n v="150"/>
    <n v="244"/>
    <n v="0"/>
    <n v="1"/>
    <n v="154"/>
    <n v="1"/>
    <n v="1.4"/>
    <n v="1"/>
    <n v="0"/>
    <n v="2"/>
    <n v="0"/>
    <x v="1"/>
    <x v="0"/>
    <x v="0"/>
    <s v="Normal"/>
    <x v="1"/>
    <x v="1"/>
    <x v="1"/>
  </r>
  <r>
    <n v="54"/>
    <x v="1"/>
    <n v="1"/>
    <n v="132"/>
    <n v="288"/>
    <n v="1"/>
    <n v="0"/>
    <n v="159"/>
    <n v="1"/>
    <n v="0"/>
    <n v="2"/>
    <n v="1"/>
    <n v="2"/>
    <n v="1"/>
    <x v="1"/>
    <x v="1"/>
    <x v="1"/>
    <s v="High"/>
    <x v="1"/>
    <x v="1"/>
    <x v="2"/>
  </r>
  <r>
    <n v="67"/>
    <x v="0"/>
    <n v="2"/>
    <n v="152"/>
    <n v="212"/>
    <n v="0"/>
    <n v="0"/>
    <n v="150"/>
    <n v="0"/>
    <n v="0.8"/>
    <n v="1"/>
    <n v="0"/>
    <n v="3"/>
    <n v="0"/>
    <x v="0"/>
    <x v="0"/>
    <x v="2"/>
    <s v="Normal"/>
    <x v="0"/>
    <x v="0"/>
    <x v="1"/>
  </r>
  <r>
    <n v="38"/>
    <x v="0"/>
    <n v="2"/>
    <n v="138"/>
    <n v="175"/>
    <n v="0"/>
    <n v="1"/>
    <n v="173"/>
    <n v="0"/>
    <n v="0"/>
    <n v="2"/>
    <n v="4"/>
    <n v="2"/>
    <n v="1"/>
    <x v="0"/>
    <x v="1"/>
    <x v="2"/>
    <s v="Normal"/>
    <x v="0"/>
    <x v="1"/>
    <x v="2"/>
  </r>
  <r>
    <n v="60"/>
    <x v="0"/>
    <n v="2"/>
    <n v="140"/>
    <n v="185"/>
    <n v="0"/>
    <n v="0"/>
    <n v="155"/>
    <n v="0"/>
    <n v="3"/>
    <n v="1"/>
    <n v="0"/>
    <n v="2"/>
    <n v="0"/>
    <x v="0"/>
    <x v="0"/>
    <x v="2"/>
    <s v="Normal"/>
    <x v="0"/>
    <x v="3"/>
    <x v="1"/>
  </r>
  <r>
    <n v="51"/>
    <x v="0"/>
    <n v="2"/>
    <n v="125"/>
    <n v="245"/>
    <n v="1"/>
    <n v="0"/>
    <n v="166"/>
    <n v="0"/>
    <n v="2.4"/>
    <n v="1"/>
    <n v="0"/>
    <n v="2"/>
    <n v="1"/>
    <x v="0"/>
    <x v="1"/>
    <x v="2"/>
    <s v="High"/>
    <x v="0"/>
    <x v="1"/>
    <x v="0"/>
  </r>
  <r>
    <n v="44"/>
    <x v="0"/>
    <n v="1"/>
    <n v="130"/>
    <n v="219"/>
    <n v="0"/>
    <n v="0"/>
    <n v="188"/>
    <n v="0"/>
    <n v="0"/>
    <n v="2"/>
    <n v="0"/>
    <n v="2"/>
    <n v="1"/>
    <x v="0"/>
    <x v="1"/>
    <x v="1"/>
    <s v="Normal"/>
    <x v="0"/>
    <x v="0"/>
    <x v="2"/>
  </r>
  <r>
    <n v="54"/>
    <x v="0"/>
    <n v="1"/>
    <n v="192"/>
    <n v="283"/>
    <n v="0"/>
    <n v="0"/>
    <n v="195"/>
    <n v="0"/>
    <n v="0"/>
    <n v="2"/>
    <n v="1"/>
    <n v="3"/>
    <n v="0"/>
    <x v="0"/>
    <x v="0"/>
    <x v="1"/>
    <s v="Normal"/>
    <x v="0"/>
    <x v="2"/>
    <x v="1"/>
  </r>
  <r>
    <n v="46"/>
    <x v="0"/>
    <n v="0"/>
    <n v="140"/>
    <n v="311"/>
    <n v="0"/>
    <n v="1"/>
    <n v="120"/>
    <n v="1"/>
    <n v="1.8"/>
    <n v="1"/>
    <n v="2"/>
    <n v="3"/>
    <n v="0"/>
    <x v="0"/>
    <x v="0"/>
    <x v="0"/>
    <s v="Normal"/>
    <x v="1"/>
    <x v="0"/>
    <x v="1"/>
  </r>
  <r>
    <n v="39"/>
    <x v="1"/>
    <n v="2"/>
    <n v="138"/>
    <n v="220"/>
    <n v="0"/>
    <n v="1"/>
    <n v="152"/>
    <n v="0"/>
    <n v="0"/>
    <n v="1"/>
    <n v="0"/>
    <n v="2"/>
    <n v="1"/>
    <x v="1"/>
    <x v="1"/>
    <x v="2"/>
    <s v="Normal"/>
    <x v="0"/>
    <x v="2"/>
    <x v="2"/>
  </r>
  <r>
    <n v="42"/>
    <x v="0"/>
    <n v="2"/>
    <n v="130"/>
    <n v="180"/>
    <n v="0"/>
    <n v="1"/>
    <n v="150"/>
    <n v="0"/>
    <n v="0"/>
    <n v="2"/>
    <n v="0"/>
    <n v="2"/>
    <n v="1"/>
    <x v="0"/>
    <x v="1"/>
    <x v="2"/>
    <s v="Normal"/>
    <x v="0"/>
    <x v="3"/>
    <x v="2"/>
  </r>
  <r>
    <n v="47"/>
    <x v="0"/>
    <n v="0"/>
    <n v="110"/>
    <n v="275"/>
    <n v="0"/>
    <n v="0"/>
    <n v="118"/>
    <n v="1"/>
    <n v="1"/>
    <n v="1"/>
    <n v="1"/>
    <n v="2"/>
    <n v="0"/>
    <x v="0"/>
    <x v="0"/>
    <x v="0"/>
    <s v="Normal"/>
    <x v="1"/>
    <x v="2"/>
    <x v="3"/>
  </r>
  <r>
    <n v="45"/>
    <x v="1"/>
    <n v="1"/>
    <n v="112"/>
    <n v="160"/>
    <n v="0"/>
    <n v="1"/>
    <n v="138"/>
    <n v="0"/>
    <n v="0"/>
    <n v="1"/>
    <n v="0"/>
    <n v="2"/>
    <n v="1"/>
    <x v="1"/>
    <x v="1"/>
    <x v="1"/>
    <s v="Normal"/>
    <x v="0"/>
    <x v="2"/>
    <x v="3"/>
  </r>
  <r>
    <n v="55"/>
    <x v="0"/>
    <n v="0"/>
    <n v="132"/>
    <n v="353"/>
    <n v="0"/>
    <n v="1"/>
    <n v="132"/>
    <n v="1"/>
    <n v="1.2"/>
    <n v="1"/>
    <n v="1"/>
    <n v="3"/>
    <n v="0"/>
    <x v="0"/>
    <x v="0"/>
    <x v="0"/>
    <s v="Normal"/>
    <x v="1"/>
    <x v="2"/>
    <x v="2"/>
  </r>
  <r>
    <n v="57"/>
    <x v="0"/>
    <n v="0"/>
    <n v="165"/>
    <n v="289"/>
    <n v="1"/>
    <n v="0"/>
    <n v="124"/>
    <n v="0"/>
    <n v="1"/>
    <n v="1"/>
    <n v="3"/>
    <n v="3"/>
    <n v="0"/>
    <x v="0"/>
    <x v="0"/>
    <x v="0"/>
    <s v="High"/>
    <x v="0"/>
    <x v="0"/>
    <x v="1"/>
  </r>
  <r>
    <n v="35"/>
    <x v="0"/>
    <n v="0"/>
    <n v="120"/>
    <n v="198"/>
    <n v="0"/>
    <n v="1"/>
    <n v="130"/>
    <n v="1"/>
    <n v="1.6"/>
    <n v="1"/>
    <n v="0"/>
    <n v="3"/>
    <n v="0"/>
    <x v="0"/>
    <x v="0"/>
    <x v="0"/>
    <s v="Normal"/>
    <x v="1"/>
    <x v="0"/>
    <x v="0"/>
  </r>
  <r>
    <n v="62"/>
    <x v="1"/>
    <n v="0"/>
    <n v="140"/>
    <n v="394"/>
    <n v="0"/>
    <n v="0"/>
    <n v="157"/>
    <n v="0"/>
    <n v="1.2"/>
    <n v="1"/>
    <n v="0"/>
    <n v="2"/>
    <n v="1"/>
    <x v="1"/>
    <x v="1"/>
    <x v="0"/>
    <s v="Normal"/>
    <x v="0"/>
    <x v="3"/>
    <x v="1"/>
  </r>
  <r>
    <n v="35"/>
    <x v="1"/>
    <n v="0"/>
    <n v="138"/>
    <n v="183"/>
    <n v="0"/>
    <n v="1"/>
    <n v="182"/>
    <n v="0"/>
    <n v="1.4"/>
    <n v="2"/>
    <n v="0"/>
    <n v="2"/>
    <n v="1"/>
    <x v="1"/>
    <x v="1"/>
    <x v="0"/>
    <s v="Normal"/>
    <x v="0"/>
    <x v="1"/>
    <x v="2"/>
  </r>
  <r>
    <n v="64"/>
    <x v="1"/>
    <n v="0"/>
    <n v="180"/>
    <n v="325"/>
    <n v="0"/>
    <n v="1"/>
    <n v="154"/>
    <n v="1"/>
    <n v="0"/>
    <n v="2"/>
    <n v="0"/>
    <n v="2"/>
    <n v="1"/>
    <x v="1"/>
    <x v="1"/>
    <x v="0"/>
    <s v="Normal"/>
    <x v="1"/>
    <x v="3"/>
    <x v="1"/>
  </r>
  <r>
    <n v="38"/>
    <x v="0"/>
    <n v="3"/>
    <n v="120"/>
    <n v="231"/>
    <n v="0"/>
    <n v="1"/>
    <n v="182"/>
    <n v="1"/>
    <n v="3.8"/>
    <n v="1"/>
    <n v="0"/>
    <n v="3"/>
    <n v="0"/>
    <x v="0"/>
    <x v="0"/>
    <x v="3"/>
    <s v="Normal"/>
    <x v="1"/>
    <x v="1"/>
    <x v="0"/>
  </r>
  <r>
    <n v="66"/>
    <x v="0"/>
    <n v="0"/>
    <n v="120"/>
    <n v="302"/>
    <n v="0"/>
    <n v="0"/>
    <n v="151"/>
    <n v="0"/>
    <n v="0.4"/>
    <n v="1"/>
    <n v="0"/>
    <n v="2"/>
    <n v="1"/>
    <x v="0"/>
    <x v="1"/>
    <x v="0"/>
    <s v="Normal"/>
    <x v="0"/>
    <x v="3"/>
    <x v="0"/>
  </r>
  <r>
    <n v="44"/>
    <x v="0"/>
    <n v="2"/>
    <n v="120"/>
    <n v="226"/>
    <n v="0"/>
    <n v="1"/>
    <n v="169"/>
    <n v="0"/>
    <n v="0"/>
    <n v="2"/>
    <n v="0"/>
    <n v="2"/>
    <n v="1"/>
    <x v="0"/>
    <x v="1"/>
    <x v="2"/>
    <s v="Normal"/>
    <x v="0"/>
    <x v="1"/>
    <x v="0"/>
  </r>
  <r>
    <n v="54"/>
    <x v="0"/>
    <n v="2"/>
    <n v="150"/>
    <n v="232"/>
    <n v="0"/>
    <n v="0"/>
    <n v="165"/>
    <n v="0"/>
    <n v="1.6"/>
    <n v="2"/>
    <n v="0"/>
    <n v="3"/>
    <n v="1"/>
    <x v="0"/>
    <x v="1"/>
    <x v="2"/>
    <s v="Normal"/>
    <x v="0"/>
    <x v="2"/>
    <x v="1"/>
  </r>
  <r>
    <n v="48"/>
    <x v="0"/>
    <n v="0"/>
    <n v="122"/>
    <n v="222"/>
    <n v="0"/>
    <n v="0"/>
    <n v="186"/>
    <n v="0"/>
    <n v="0"/>
    <n v="2"/>
    <n v="0"/>
    <n v="2"/>
    <n v="1"/>
    <x v="0"/>
    <x v="1"/>
    <x v="0"/>
    <s v="Normal"/>
    <x v="0"/>
    <x v="0"/>
    <x v="0"/>
  </r>
  <r>
    <n v="55"/>
    <x v="1"/>
    <n v="1"/>
    <n v="132"/>
    <n v="342"/>
    <n v="0"/>
    <n v="1"/>
    <n v="166"/>
    <n v="0"/>
    <n v="1.2"/>
    <n v="2"/>
    <n v="0"/>
    <n v="2"/>
    <n v="1"/>
    <x v="1"/>
    <x v="1"/>
    <x v="1"/>
    <s v="Normal"/>
    <x v="0"/>
    <x v="2"/>
    <x v="2"/>
  </r>
  <r>
    <n v="58"/>
    <x v="1"/>
    <n v="0"/>
    <n v="170"/>
    <n v="225"/>
    <n v="1"/>
    <n v="0"/>
    <n v="146"/>
    <n v="1"/>
    <n v="2.8"/>
    <n v="1"/>
    <n v="2"/>
    <n v="1"/>
    <n v="0"/>
    <x v="1"/>
    <x v="0"/>
    <x v="0"/>
    <s v="High"/>
    <x v="1"/>
    <x v="0"/>
    <x v="1"/>
  </r>
  <r>
    <n v="45"/>
    <x v="0"/>
    <n v="0"/>
    <n v="104"/>
    <n v="208"/>
    <n v="0"/>
    <n v="0"/>
    <n v="148"/>
    <n v="1"/>
    <n v="3"/>
    <n v="1"/>
    <n v="0"/>
    <n v="2"/>
    <n v="1"/>
    <x v="0"/>
    <x v="1"/>
    <x v="0"/>
    <s v="Normal"/>
    <x v="1"/>
    <x v="0"/>
    <x v="3"/>
  </r>
  <r>
    <n v="53"/>
    <x v="0"/>
    <n v="0"/>
    <n v="123"/>
    <n v="282"/>
    <n v="0"/>
    <n v="1"/>
    <n v="95"/>
    <n v="1"/>
    <n v="2"/>
    <n v="1"/>
    <n v="2"/>
    <n v="3"/>
    <n v="0"/>
    <x v="0"/>
    <x v="0"/>
    <x v="0"/>
    <s v="Normal"/>
    <x v="1"/>
    <x v="2"/>
    <x v="0"/>
  </r>
  <r>
    <n v="67"/>
    <x v="0"/>
    <n v="0"/>
    <n v="120"/>
    <n v="237"/>
    <n v="0"/>
    <n v="1"/>
    <n v="71"/>
    <n v="0"/>
    <n v="1"/>
    <n v="1"/>
    <n v="0"/>
    <n v="2"/>
    <n v="0"/>
    <x v="0"/>
    <x v="0"/>
    <x v="0"/>
    <s v="Normal"/>
    <x v="0"/>
    <x v="0"/>
    <x v="0"/>
  </r>
  <r>
    <n v="58"/>
    <x v="0"/>
    <n v="2"/>
    <n v="132"/>
    <n v="224"/>
    <n v="0"/>
    <n v="0"/>
    <n v="173"/>
    <n v="0"/>
    <n v="3.2"/>
    <n v="2"/>
    <n v="2"/>
    <n v="3"/>
    <n v="0"/>
    <x v="0"/>
    <x v="0"/>
    <x v="2"/>
    <s v="Normal"/>
    <x v="0"/>
    <x v="1"/>
    <x v="2"/>
  </r>
  <r>
    <n v="71"/>
    <x v="1"/>
    <n v="2"/>
    <n v="110"/>
    <n v="265"/>
    <n v="1"/>
    <n v="0"/>
    <n v="130"/>
    <n v="0"/>
    <n v="0"/>
    <n v="2"/>
    <n v="1"/>
    <n v="2"/>
    <n v="1"/>
    <x v="1"/>
    <x v="1"/>
    <x v="2"/>
    <s v="High"/>
    <x v="0"/>
    <x v="0"/>
    <x v="3"/>
  </r>
  <r>
    <n v="43"/>
    <x v="0"/>
    <n v="0"/>
    <n v="110"/>
    <n v="211"/>
    <n v="0"/>
    <n v="1"/>
    <n v="161"/>
    <n v="0"/>
    <n v="0"/>
    <n v="2"/>
    <n v="0"/>
    <n v="3"/>
    <n v="1"/>
    <x v="0"/>
    <x v="1"/>
    <x v="0"/>
    <s v="Normal"/>
    <x v="0"/>
    <x v="1"/>
    <x v="3"/>
  </r>
  <r>
    <n v="44"/>
    <x v="0"/>
    <n v="1"/>
    <n v="120"/>
    <n v="263"/>
    <n v="0"/>
    <n v="1"/>
    <n v="173"/>
    <n v="0"/>
    <n v="0"/>
    <n v="2"/>
    <n v="0"/>
    <n v="3"/>
    <n v="1"/>
    <x v="0"/>
    <x v="1"/>
    <x v="1"/>
    <s v="Normal"/>
    <x v="0"/>
    <x v="2"/>
    <x v="0"/>
  </r>
  <r>
    <n v="39"/>
    <x v="1"/>
    <n v="2"/>
    <n v="138"/>
    <n v="220"/>
    <n v="0"/>
    <n v="1"/>
    <n v="152"/>
    <n v="0"/>
    <n v="0"/>
    <n v="1"/>
    <n v="0"/>
    <n v="2"/>
    <n v="1"/>
    <x v="1"/>
    <x v="1"/>
    <x v="2"/>
    <s v="Normal"/>
    <x v="0"/>
    <x v="2"/>
    <x v="2"/>
  </r>
  <r>
    <n v="54"/>
    <x v="0"/>
    <n v="0"/>
    <n v="110"/>
    <n v="206"/>
    <n v="0"/>
    <n v="0"/>
    <n v="108"/>
    <n v="1"/>
    <n v="0"/>
    <n v="1"/>
    <n v="1"/>
    <n v="2"/>
    <n v="0"/>
    <x v="0"/>
    <x v="0"/>
    <x v="0"/>
    <s v="Normal"/>
    <x v="1"/>
    <x v="3"/>
    <x v="3"/>
  </r>
  <r>
    <n v="66"/>
    <x v="0"/>
    <n v="0"/>
    <n v="160"/>
    <n v="228"/>
    <n v="0"/>
    <n v="0"/>
    <n v="138"/>
    <n v="0"/>
    <n v="2.2999999999999998"/>
    <n v="2"/>
    <n v="0"/>
    <n v="1"/>
    <n v="1"/>
    <x v="0"/>
    <x v="1"/>
    <x v="0"/>
    <s v="Normal"/>
    <x v="0"/>
    <x v="0"/>
    <x v="1"/>
  </r>
  <r>
    <n v="56"/>
    <x v="0"/>
    <n v="0"/>
    <n v="130"/>
    <n v="283"/>
    <n v="1"/>
    <n v="0"/>
    <n v="103"/>
    <n v="1"/>
    <n v="1.6"/>
    <n v="0"/>
    <n v="0"/>
    <n v="3"/>
    <n v="0"/>
    <x v="0"/>
    <x v="0"/>
    <x v="0"/>
    <s v="High"/>
    <x v="1"/>
    <x v="1"/>
    <x v="2"/>
  </r>
  <r>
    <n v="57"/>
    <x v="0"/>
    <n v="0"/>
    <n v="132"/>
    <n v="207"/>
    <n v="0"/>
    <n v="1"/>
    <n v="168"/>
    <n v="1"/>
    <n v="0"/>
    <n v="2"/>
    <n v="0"/>
    <n v="3"/>
    <n v="1"/>
    <x v="0"/>
    <x v="1"/>
    <x v="0"/>
    <s v="Normal"/>
    <x v="1"/>
    <x v="0"/>
    <x v="2"/>
  </r>
  <r>
    <n v="44"/>
    <x v="0"/>
    <n v="1"/>
    <n v="130"/>
    <n v="219"/>
    <n v="0"/>
    <n v="0"/>
    <n v="188"/>
    <n v="0"/>
    <n v="0"/>
    <n v="2"/>
    <n v="0"/>
    <n v="2"/>
    <n v="1"/>
    <x v="0"/>
    <x v="1"/>
    <x v="1"/>
    <s v="Normal"/>
    <x v="0"/>
    <x v="0"/>
    <x v="2"/>
  </r>
  <r>
    <n v="55"/>
    <x v="0"/>
    <n v="0"/>
    <n v="160"/>
    <n v="289"/>
    <n v="0"/>
    <n v="0"/>
    <n v="145"/>
    <n v="1"/>
    <n v="0.8"/>
    <n v="1"/>
    <n v="1"/>
    <n v="3"/>
    <n v="0"/>
    <x v="0"/>
    <x v="0"/>
    <x v="0"/>
    <s v="Normal"/>
    <x v="1"/>
    <x v="2"/>
    <x v="1"/>
  </r>
  <r>
    <n v="41"/>
    <x v="1"/>
    <n v="1"/>
    <n v="105"/>
    <n v="198"/>
    <n v="0"/>
    <n v="1"/>
    <n v="168"/>
    <n v="0"/>
    <n v="0"/>
    <n v="2"/>
    <n v="1"/>
    <n v="2"/>
    <n v="1"/>
    <x v="1"/>
    <x v="1"/>
    <x v="1"/>
    <s v="Normal"/>
    <x v="0"/>
    <x v="0"/>
    <x v="3"/>
  </r>
  <r>
    <n v="45"/>
    <x v="1"/>
    <n v="1"/>
    <n v="130"/>
    <n v="234"/>
    <n v="0"/>
    <n v="0"/>
    <n v="175"/>
    <n v="0"/>
    <n v="0.6"/>
    <n v="1"/>
    <n v="0"/>
    <n v="2"/>
    <n v="1"/>
    <x v="1"/>
    <x v="1"/>
    <x v="1"/>
    <s v="Normal"/>
    <x v="0"/>
    <x v="2"/>
    <x v="2"/>
  </r>
  <r>
    <n v="35"/>
    <x v="0"/>
    <n v="1"/>
    <n v="122"/>
    <n v="192"/>
    <n v="0"/>
    <n v="1"/>
    <n v="174"/>
    <n v="0"/>
    <n v="0"/>
    <n v="2"/>
    <n v="0"/>
    <n v="2"/>
    <n v="1"/>
    <x v="0"/>
    <x v="1"/>
    <x v="1"/>
    <s v="Normal"/>
    <x v="0"/>
    <x v="2"/>
    <x v="0"/>
  </r>
  <r>
    <n v="41"/>
    <x v="1"/>
    <n v="1"/>
    <n v="130"/>
    <n v="204"/>
    <n v="0"/>
    <n v="0"/>
    <n v="172"/>
    <n v="0"/>
    <n v="1.4"/>
    <n v="2"/>
    <n v="0"/>
    <n v="2"/>
    <n v="1"/>
    <x v="1"/>
    <x v="1"/>
    <x v="1"/>
    <s v="Normal"/>
    <x v="0"/>
    <x v="3"/>
    <x v="2"/>
  </r>
  <r>
    <n v="64"/>
    <x v="0"/>
    <n v="3"/>
    <n v="110"/>
    <n v="211"/>
    <n v="0"/>
    <n v="0"/>
    <n v="144"/>
    <n v="1"/>
    <n v="1.8"/>
    <n v="1"/>
    <n v="0"/>
    <n v="2"/>
    <n v="1"/>
    <x v="0"/>
    <x v="1"/>
    <x v="3"/>
    <s v="Normal"/>
    <x v="1"/>
    <x v="2"/>
    <x v="3"/>
  </r>
  <r>
    <n v="58"/>
    <x v="0"/>
    <n v="2"/>
    <n v="132"/>
    <n v="224"/>
    <n v="0"/>
    <n v="0"/>
    <n v="173"/>
    <n v="0"/>
    <n v="3.2"/>
    <n v="2"/>
    <n v="2"/>
    <n v="3"/>
    <n v="0"/>
    <x v="0"/>
    <x v="0"/>
    <x v="2"/>
    <s v="Normal"/>
    <x v="0"/>
    <x v="1"/>
    <x v="2"/>
  </r>
  <r>
    <n v="71"/>
    <x v="1"/>
    <n v="2"/>
    <n v="110"/>
    <n v="265"/>
    <n v="1"/>
    <n v="0"/>
    <n v="130"/>
    <n v="0"/>
    <n v="0"/>
    <n v="2"/>
    <n v="1"/>
    <n v="2"/>
    <n v="1"/>
    <x v="1"/>
    <x v="1"/>
    <x v="2"/>
    <s v="High"/>
    <x v="0"/>
    <x v="0"/>
    <x v="3"/>
  </r>
  <r>
    <n v="64"/>
    <x v="1"/>
    <n v="2"/>
    <n v="140"/>
    <n v="313"/>
    <n v="0"/>
    <n v="1"/>
    <n v="133"/>
    <n v="0"/>
    <n v="0.2"/>
    <n v="2"/>
    <n v="0"/>
    <n v="3"/>
    <n v="1"/>
    <x v="1"/>
    <x v="1"/>
    <x v="2"/>
    <s v="Normal"/>
    <x v="0"/>
    <x v="1"/>
    <x v="1"/>
  </r>
  <r>
    <n v="71"/>
    <x v="1"/>
    <n v="1"/>
    <n v="160"/>
    <n v="302"/>
    <n v="0"/>
    <n v="1"/>
    <n v="162"/>
    <n v="0"/>
    <n v="0.4"/>
    <n v="2"/>
    <n v="2"/>
    <n v="2"/>
    <n v="1"/>
    <x v="1"/>
    <x v="1"/>
    <x v="1"/>
    <s v="Normal"/>
    <x v="0"/>
    <x v="1"/>
    <x v="1"/>
  </r>
  <r>
    <n v="58"/>
    <x v="1"/>
    <n v="2"/>
    <n v="120"/>
    <n v="340"/>
    <n v="0"/>
    <n v="1"/>
    <n v="172"/>
    <n v="0"/>
    <n v="0"/>
    <n v="2"/>
    <n v="0"/>
    <n v="2"/>
    <n v="1"/>
    <x v="1"/>
    <x v="1"/>
    <x v="2"/>
    <s v="Normal"/>
    <x v="0"/>
    <x v="1"/>
    <x v="0"/>
  </r>
  <r>
    <n v="40"/>
    <x v="0"/>
    <n v="0"/>
    <n v="152"/>
    <n v="223"/>
    <n v="0"/>
    <n v="1"/>
    <n v="181"/>
    <n v="0"/>
    <n v="0"/>
    <n v="2"/>
    <n v="0"/>
    <n v="3"/>
    <n v="0"/>
    <x v="0"/>
    <x v="0"/>
    <x v="0"/>
    <s v="Normal"/>
    <x v="0"/>
    <x v="0"/>
    <x v="1"/>
  </r>
  <r>
    <n v="52"/>
    <x v="0"/>
    <n v="2"/>
    <n v="138"/>
    <n v="223"/>
    <n v="0"/>
    <n v="1"/>
    <n v="169"/>
    <n v="0"/>
    <n v="0"/>
    <n v="2"/>
    <n v="4"/>
    <n v="2"/>
    <n v="1"/>
    <x v="0"/>
    <x v="1"/>
    <x v="2"/>
    <s v="Normal"/>
    <x v="0"/>
    <x v="2"/>
    <x v="2"/>
  </r>
  <r>
    <n v="58"/>
    <x v="0"/>
    <n v="0"/>
    <n v="128"/>
    <n v="259"/>
    <n v="0"/>
    <n v="0"/>
    <n v="130"/>
    <n v="1"/>
    <n v="3"/>
    <n v="1"/>
    <n v="2"/>
    <n v="3"/>
    <n v="0"/>
    <x v="0"/>
    <x v="0"/>
    <x v="0"/>
    <s v="Normal"/>
    <x v="1"/>
    <x v="0"/>
    <x v="0"/>
  </r>
  <r>
    <n v="61"/>
    <x v="0"/>
    <n v="2"/>
    <n v="150"/>
    <n v="243"/>
    <n v="1"/>
    <n v="1"/>
    <n v="137"/>
    <n v="1"/>
    <n v="1"/>
    <n v="1"/>
    <n v="0"/>
    <n v="2"/>
    <n v="1"/>
    <x v="0"/>
    <x v="1"/>
    <x v="2"/>
    <s v="High"/>
    <x v="1"/>
    <x v="0"/>
    <x v="1"/>
  </r>
  <r>
    <n v="59"/>
    <x v="0"/>
    <n v="2"/>
    <n v="150"/>
    <n v="212"/>
    <n v="1"/>
    <n v="1"/>
    <n v="157"/>
    <n v="0"/>
    <n v="1.6"/>
    <n v="2"/>
    <n v="0"/>
    <n v="2"/>
    <n v="1"/>
    <x v="0"/>
    <x v="1"/>
    <x v="2"/>
    <s v="High"/>
    <x v="0"/>
    <x v="1"/>
    <x v="1"/>
  </r>
  <r>
    <n v="56"/>
    <x v="1"/>
    <n v="0"/>
    <n v="200"/>
    <n v="288"/>
    <n v="1"/>
    <n v="0"/>
    <n v="133"/>
    <n v="1"/>
    <n v="4"/>
    <n v="0"/>
    <n v="2"/>
    <n v="3"/>
    <n v="0"/>
    <x v="1"/>
    <x v="0"/>
    <x v="0"/>
    <s v="High"/>
    <x v="1"/>
    <x v="0"/>
    <x v="1"/>
  </r>
  <r>
    <n v="67"/>
    <x v="0"/>
    <n v="0"/>
    <n v="100"/>
    <n v="299"/>
    <n v="0"/>
    <n v="0"/>
    <n v="125"/>
    <n v="1"/>
    <n v="0.9"/>
    <n v="1"/>
    <n v="2"/>
    <n v="2"/>
    <n v="0"/>
    <x v="0"/>
    <x v="0"/>
    <x v="0"/>
    <s v="Normal"/>
    <x v="1"/>
    <x v="0"/>
    <x v="3"/>
  </r>
  <r>
    <n v="67"/>
    <x v="0"/>
    <n v="0"/>
    <n v="120"/>
    <n v="237"/>
    <n v="0"/>
    <n v="1"/>
    <n v="71"/>
    <n v="0"/>
    <n v="1"/>
    <n v="1"/>
    <n v="0"/>
    <n v="2"/>
    <n v="0"/>
    <x v="0"/>
    <x v="0"/>
    <x v="0"/>
    <s v="Normal"/>
    <x v="0"/>
    <x v="1"/>
    <x v="0"/>
  </r>
  <r>
    <n v="58"/>
    <x v="0"/>
    <n v="0"/>
    <n v="150"/>
    <n v="270"/>
    <n v="0"/>
    <n v="0"/>
    <n v="111"/>
    <n v="1"/>
    <n v="0.8"/>
    <n v="2"/>
    <n v="0"/>
    <n v="3"/>
    <n v="0"/>
    <x v="0"/>
    <x v="0"/>
    <x v="0"/>
    <s v="Normal"/>
    <x v="1"/>
    <x v="1"/>
    <x v="1"/>
  </r>
  <r>
    <n v="35"/>
    <x v="0"/>
    <n v="1"/>
    <n v="122"/>
    <n v="192"/>
    <n v="0"/>
    <n v="1"/>
    <n v="174"/>
    <n v="0"/>
    <n v="0"/>
    <n v="2"/>
    <n v="0"/>
    <n v="2"/>
    <n v="1"/>
    <x v="0"/>
    <x v="1"/>
    <x v="1"/>
    <s v="Normal"/>
    <x v="0"/>
    <x v="0"/>
    <x v="0"/>
  </r>
  <r>
    <n v="52"/>
    <x v="0"/>
    <n v="1"/>
    <n v="120"/>
    <n v="325"/>
    <n v="0"/>
    <n v="1"/>
    <n v="172"/>
    <n v="0"/>
    <n v="0.2"/>
    <n v="2"/>
    <n v="0"/>
    <n v="2"/>
    <n v="1"/>
    <x v="0"/>
    <x v="1"/>
    <x v="1"/>
    <s v="Normal"/>
    <x v="0"/>
    <x v="3"/>
    <x v="0"/>
  </r>
  <r>
    <n v="46"/>
    <x v="1"/>
    <n v="1"/>
    <n v="105"/>
    <n v="204"/>
    <n v="0"/>
    <n v="1"/>
    <n v="172"/>
    <n v="0"/>
    <n v="0"/>
    <n v="2"/>
    <n v="0"/>
    <n v="2"/>
    <n v="1"/>
    <x v="1"/>
    <x v="1"/>
    <x v="1"/>
    <s v="Normal"/>
    <x v="0"/>
    <x v="0"/>
    <x v="3"/>
  </r>
  <r>
    <n v="51"/>
    <x v="0"/>
    <n v="2"/>
    <n v="94"/>
    <n v="227"/>
    <n v="0"/>
    <n v="1"/>
    <n v="154"/>
    <n v="1"/>
    <n v="0"/>
    <n v="2"/>
    <n v="1"/>
    <n v="3"/>
    <n v="1"/>
    <x v="0"/>
    <x v="1"/>
    <x v="2"/>
    <s v="Normal"/>
    <x v="1"/>
    <x v="2"/>
    <x v="3"/>
  </r>
  <r>
    <n v="55"/>
    <x v="1"/>
    <n v="1"/>
    <n v="132"/>
    <n v="342"/>
    <n v="0"/>
    <n v="1"/>
    <n v="166"/>
    <n v="0"/>
    <n v="1.2"/>
    <n v="2"/>
    <n v="0"/>
    <n v="2"/>
    <n v="1"/>
    <x v="1"/>
    <x v="1"/>
    <x v="1"/>
    <s v="Normal"/>
    <x v="0"/>
    <x v="0"/>
    <x v="2"/>
  </r>
  <r>
    <n v="60"/>
    <x v="0"/>
    <n v="0"/>
    <n v="145"/>
    <n v="282"/>
    <n v="0"/>
    <n v="0"/>
    <n v="142"/>
    <n v="1"/>
    <n v="2.8"/>
    <n v="1"/>
    <n v="2"/>
    <n v="3"/>
    <n v="0"/>
    <x v="0"/>
    <x v="0"/>
    <x v="0"/>
    <s v="Normal"/>
    <x v="1"/>
    <x v="0"/>
    <x v="1"/>
  </r>
  <r>
    <n v="52"/>
    <x v="1"/>
    <n v="2"/>
    <n v="136"/>
    <n v="196"/>
    <n v="0"/>
    <n v="0"/>
    <n v="169"/>
    <n v="0"/>
    <n v="0.1"/>
    <n v="1"/>
    <n v="0"/>
    <n v="2"/>
    <n v="1"/>
    <x v="1"/>
    <x v="1"/>
    <x v="2"/>
    <s v="Normal"/>
    <x v="0"/>
    <x v="1"/>
    <x v="2"/>
  </r>
  <r>
    <n v="62"/>
    <x v="0"/>
    <n v="0"/>
    <n v="120"/>
    <n v="267"/>
    <n v="0"/>
    <n v="1"/>
    <n v="99"/>
    <n v="1"/>
    <n v="1.8"/>
    <n v="1"/>
    <n v="2"/>
    <n v="3"/>
    <n v="0"/>
    <x v="0"/>
    <x v="0"/>
    <x v="0"/>
    <s v="Normal"/>
    <x v="1"/>
    <x v="0"/>
    <x v="0"/>
  </r>
  <r>
    <n v="44"/>
    <x v="1"/>
    <n v="2"/>
    <n v="118"/>
    <n v="242"/>
    <n v="0"/>
    <n v="1"/>
    <n v="149"/>
    <n v="0"/>
    <n v="0.3"/>
    <n v="1"/>
    <n v="1"/>
    <n v="2"/>
    <n v="1"/>
    <x v="1"/>
    <x v="1"/>
    <x v="2"/>
    <s v="Normal"/>
    <x v="0"/>
    <x v="1"/>
    <x v="3"/>
  </r>
  <r>
    <n v="44"/>
    <x v="0"/>
    <n v="1"/>
    <n v="120"/>
    <n v="220"/>
    <n v="0"/>
    <n v="1"/>
    <n v="170"/>
    <n v="0"/>
    <n v="0"/>
    <n v="2"/>
    <n v="0"/>
    <n v="2"/>
    <n v="1"/>
    <x v="0"/>
    <x v="1"/>
    <x v="1"/>
    <s v="Normal"/>
    <x v="0"/>
    <x v="2"/>
    <x v="0"/>
  </r>
  <r>
    <n v="59"/>
    <x v="0"/>
    <n v="2"/>
    <n v="126"/>
    <n v="218"/>
    <n v="1"/>
    <n v="1"/>
    <n v="134"/>
    <n v="0"/>
    <n v="2.2000000000000002"/>
    <n v="1"/>
    <n v="1"/>
    <n v="1"/>
    <n v="0"/>
    <x v="0"/>
    <x v="0"/>
    <x v="2"/>
    <s v="High"/>
    <x v="0"/>
    <x v="2"/>
    <x v="0"/>
  </r>
  <r>
    <n v="56"/>
    <x v="1"/>
    <n v="1"/>
    <n v="140"/>
    <n v="294"/>
    <n v="0"/>
    <n v="0"/>
    <n v="153"/>
    <n v="0"/>
    <n v="1.3"/>
    <n v="1"/>
    <n v="0"/>
    <n v="2"/>
    <n v="1"/>
    <x v="1"/>
    <x v="1"/>
    <x v="1"/>
    <s v="Normal"/>
    <x v="0"/>
    <x v="0"/>
    <x v="1"/>
  </r>
  <r>
    <n v="61"/>
    <x v="0"/>
    <n v="0"/>
    <n v="120"/>
    <n v="260"/>
    <n v="0"/>
    <n v="1"/>
    <n v="140"/>
    <n v="1"/>
    <n v="3.6"/>
    <n v="1"/>
    <n v="1"/>
    <n v="3"/>
    <n v="0"/>
    <x v="0"/>
    <x v="0"/>
    <x v="0"/>
    <s v="Normal"/>
    <x v="1"/>
    <x v="0"/>
    <x v="0"/>
  </r>
  <r>
    <n v="48"/>
    <x v="0"/>
    <n v="0"/>
    <n v="130"/>
    <n v="256"/>
    <n v="1"/>
    <n v="0"/>
    <n v="150"/>
    <n v="1"/>
    <n v="0"/>
    <n v="2"/>
    <n v="2"/>
    <n v="3"/>
    <n v="0"/>
    <x v="0"/>
    <x v="0"/>
    <x v="0"/>
    <s v="High"/>
    <x v="1"/>
    <x v="1"/>
    <x v="2"/>
  </r>
  <r>
    <n v="70"/>
    <x v="0"/>
    <n v="2"/>
    <n v="160"/>
    <n v="269"/>
    <n v="0"/>
    <n v="1"/>
    <n v="112"/>
    <n v="1"/>
    <n v="2.9"/>
    <n v="1"/>
    <n v="1"/>
    <n v="3"/>
    <n v="0"/>
    <x v="0"/>
    <x v="0"/>
    <x v="2"/>
    <s v="Normal"/>
    <x v="1"/>
    <x v="2"/>
    <x v="1"/>
  </r>
  <r>
    <n v="74"/>
    <x v="1"/>
    <n v="1"/>
    <n v="120"/>
    <n v="269"/>
    <n v="0"/>
    <n v="0"/>
    <n v="121"/>
    <n v="1"/>
    <n v="0.2"/>
    <n v="2"/>
    <n v="1"/>
    <n v="2"/>
    <n v="1"/>
    <x v="1"/>
    <x v="1"/>
    <x v="1"/>
    <s v="Normal"/>
    <x v="1"/>
    <x v="1"/>
    <x v="0"/>
  </r>
  <r>
    <n v="40"/>
    <x v="0"/>
    <n v="3"/>
    <n v="140"/>
    <n v="199"/>
    <n v="0"/>
    <n v="1"/>
    <n v="178"/>
    <n v="1"/>
    <n v="1.4"/>
    <n v="2"/>
    <n v="0"/>
    <n v="3"/>
    <n v="1"/>
    <x v="0"/>
    <x v="1"/>
    <x v="3"/>
    <s v="Normal"/>
    <x v="1"/>
    <x v="1"/>
    <x v="1"/>
  </r>
  <r>
    <n v="42"/>
    <x v="0"/>
    <n v="3"/>
    <n v="148"/>
    <n v="244"/>
    <n v="0"/>
    <n v="0"/>
    <n v="178"/>
    <n v="0"/>
    <n v="0.8"/>
    <n v="2"/>
    <n v="2"/>
    <n v="2"/>
    <n v="1"/>
    <x v="0"/>
    <x v="1"/>
    <x v="3"/>
    <s v="Normal"/>
    <x v="0"/>
    <x v="2"/>
    <x v="1"/>
  </r>
  <r>
    <n v="64"/>
    <x v="1"/>
    <n v="2"/>
    <n v="140"/>
    <n v="313"/>
    <n v="0"/>
    <n v="1"/>
    <n v="133"/>
    <n v="0"/>
    <n v="0.2"/>
    <n v="2"/>
    <n v="0"/>
    <n v="3"/>
    <n v="1"/>
    <x v="1"/>
    <x v="1"/>
    <x v="2"/>
    <s v="Normal"/>
    <x v="0"/>
    <x v="2"/>
    <x v="1"/>
  </r>
  <r>
    <n v="63"/>
    <x v="1"/>
    <n v="2"/>
    <n v="135"/>
    <n v="252"/>
    <n v="0"/>
    <n v="0"/>
    <n v="172"/>
    <n v="0"/>
    <n v="0"/>
    <n v="2"/>
    <n v="0"/>
    <n v="2"/>
    <n v="1"/>
    <x v="1"/>
    <x v="1"/>
    <x v="2"/>
    <s v="Normal"/>
    <x v="0"/>
    <x v="1"/>
    <x v="2"/>
  </r>
  <r>
    <n v="59"/>
    <x v="0"/>
    <n v="0"/>
    <n v="140"/>
    <n v="177"/>
    <n v="0"/>
    <n v="1"/>
    <n v="162"/>
    <n v="1"/>
    <n v="0"/>
    <n v="2"/>
    <n v="1"/>
    <n v="3"/>
    <n v="0"/>
    <x v="0"/>
    <x v="0"/>
    <x v="0"/>
    <s v="Normal"/>
    <x v="1"/>
    <x v="1"/>
    <x v="1"/>
  </r>
  <r>
    <n v="53"/>
    <x v="1"/>
    <n v="2"/>
    <n v="128"/>
    <n v="216"/>
    <n v="0"/>
    <n v="0"/>
    <n v="115"/>
    <n v="0"/>
    <n v="0"/>
    <n v="2"/>
    <n v="0"/>
    <n v="0"/>
    <n v="1"/>
    <x v="1"/>
    <x v="1"/>
    <x v="2"/>
    <s v="Normal"/>
    <x v="0"/>
    <x v="0"/>
    <x v="0"/>
  </r>
  <r>
    <n v="53"/>
    <x v="1"/>
    <n v="0"/>
    <n v="130"/>
    <n v="264"/>
    <n v="0"/>
    <n v="0"/>
    <n v="143"/>
    <n v="0"/>
    <n v="0.4"/>
    <n v="1"/>
    <n v="0"/>
    <n v="2"/>
    <n v="1"/>
    <x v="1"/>
    <x v="1"/>
    <x v="0"/>
    <s v="Normal"/>
    <x v="0"/>
    <x v="0"/>
    <x v="2"/>
  </r>
  <r>
    <n v="48"/>
    <x v="1"/>
    <n v="2"/>
    <n v="130"/>
    <n v="275"/>
    <n v="0"/>
    <n v="1"/>
    <n v="139"/>
    <n v="0"/>
    <n v="0.2"/>
    <n v="2"/>
    <n v="0"/>
    <n v="2"/>
    <n v="1"/>
    <x v="1"/>
    <x v="1"/>
    <x v="2"/>
    <s v="Normal"/>
    <x v="0"/>
    <x v="0"/>
    <x v="2"/>
  </r>
  <r>
    <n v="45"/>
    <x v="0"/>
    <n v="0"/>
    <n v="142"/>
    <n v="309"/>
    <n v="0"/>
    <n v="0"/>
    <n v="147"/>
    <n v="1"/>
    <n v="0"/>
    <n v="1"/>
    <n v="3"/>
    <n v="3"/>
    <n v="0"/>
    <x v="0"/>
    <x v="0"/>
    <x v="0"/>
    <s v="Normal"/>
    <x v="1"/>
    <x v="2"/>
    <x v="1"/>
  </r>
  <r>
    <n v="66"/>
    <x v="0"/>
    <n v="1"/>
    <n v="160"/>
    <n v="246"/>
    <n v="0"/>
    <n v="1"/>
    <n v="120"/>
    <n v="1"/>
    <n v="0"/>
    <n v="1"/>
    <n v="3"/>
    <n v="1"/>
    <n v="0"/>
    <x v="0"/>
    <x v="0"/>
    <x v="1"/>
    <s v="Normal"/>
    <x v="1"/>
    <x v="2"/>
    <x v="1"/>
  </r>
  <r>
    <n v="48"/>
    <x v="0"/>
    <n v="1"/>
    <n v="130"/>
    <n v="245"/>
    <n v="0"/>
    <n v="0"/>
    <n v="180"/>
    <n v="0"/>
    <n v="0.2"/>
    <n v="1"/>
    <n v="0"/>
    <n v="2"/>
    <n v="1"/>
    <x v="0"/>
    <x v="1"/>
    <x v="1"/>
    <s v="Normal"/>
    <x v="0"/>
    <x v="1"/>
    <x v="2"/>
  </r>
  <r>
    <n v="56"/>
    <x v="1"/>
    <n v="1"/>
    <n v="140"/>
    <n v="294"/>
    <n v="0"/>
    <n v="0"/>
    <n v="153"/>
    <n v="0"/>
    <n v="1.3"/>
    <n v="1"/>
    <n v="0"/>
    <n v="2"/>
    <n v="1"/>
    <x v="1"/>
    <x v="1"/>
    <x v="1"/>
    <s v="Normal"/>
    <x v="0"/>
    <x v="2"/>
    <x v="1"/>
  </r>
  <r>
    <n v="54"/>
    <x v="0"/>
    <n v="1"/>
    <n v="192"/>
    <n v="283"/>
    <n v="0"/>
    <n v="0"/>
    <n v="195"/>
    <n v="0"/>
    <n v="0"/>
    <n v="2"/>
    <n v="1"/>
    <n v="3"/>
    <n v="0"/>
    <x v="0"/>
    <x v="0"/>
    <x v="1"/>
    <s v="Normal"/>
    <x v="0"/>
    <x v="0"/>
    <x v="1"/>
  </r>
  <r>
    <n v="57"/>
    <x v="0"/>
    <n v="0"/>
    <n v="150"/>
    <n v="276"/>
    <n v="0"/>
    <n v="0"/>
    <n v="112"/>
    <n v="1"/>
    <n v="0.6"/>
    <n v="1"/>
    <n v="1"/>
    <n v="1"/>
    <n v="0"/>
    <x v="0"/>
    <x v="0"/>
    <x v="0"/>
    <s v="Normal"/>
    <x v="1"/>
    <x v="0"/>
    <x v="1"/>
  </r>
  <r>
    <n v="70"/>
    <x v="0"/>
    <n v="0"/>
    <n v="130"/>
    <n v="322"/>
    <n v="0"/>
    <n v="0"/>
    <n v="109"/>
    <n v="0"/>
    <n v="2.4"/>
    <n v="1"/>
    <n v="3"/>
    <n v="2"/>
    <n v="0"/>
    <x v="0"/>
    <x v="0"/>
    <x v="0"/>
    <s v="Normal"/>
    <x v="0"/>
    <x v="0"/>
    <x v="2"/>
  </r>
  <r>
    <n v="53"/>
    <x v="1"/>
    <n v="2"/>
    <n v="128"/>
    <n v="216"/>
    <n v="0"/>
    <n v="0"/>
    <n v="115"/>
    <n v="0"/>
    <n v="0"/>
    <n v="2"/>
    <n v="0"/>
    <n v="0"/>
    <n v="1"/>
    <x v="1"/>
    <x v="1"/>
    <x v="2"/>
    <s v="Normal"/>
    <x v="0"/>
    <x v="1"/>
    <x v="0"/>
  </r>
  <r>
    <n v="37"/>
    <x v="1"/>
    <n v="2"/>
    <n v="120"/>
    <n v="215"/>
    <n v="0"/>
    <n v="1"/>
    <n v="170"/>
    <n v="0"/>
    <n v="0"/>
    <n v="2"/>
    <n v="0"/>
    <n v="2"/>
    <n v="1"/>
    <x v="1"/>
    <x v="1"/>
    <x v="2"/>
    <s v="Normal"/>
    <x v="0"/>
    <x v="0"/>
    <x v="0"/>
  </r>
  <r>
    <n v="63"/>
    <x v="1"/>
    <n v="0"/>
    <n v="108"/>
    <n v="269"/>
    <n v="0"/>
    <n v="1"/>
    <n v="169"/>
    <n v="1"/>
    <n v="1.8"/>
    <n v="1"/>
    <n v="2"/>
    <n v="2"/>
    <n v="0"/>
    <x v="1"/>
    <x v="0"/>
    <x v="0"/>
    <s v="Normal"/>
    <x v="1"/>
    <x v="3"/>
    <x v="3"/>
  </r>
  <r>
    <n v="37"/>
    <x v="0"/>
    <n v="2"/>
    <n v="130"/>
    <n v="250"/>
    <n v="0"/>
    <n v="1"/>
    <n v="187"/>
    <n v="0"/>
    <n v="3.5"/>
    <n v="0"/>
    <n v="0"/>
    <n v="2"/>
    <n v="1"/>
    <x v="0"/>
    <x v="1"/>
    <x v="2"/>
    <s v="Normal"/>
    <x v="0"/>
    <x v="1"/>
    <x v="2"/>
  </r>
  <r>
    <n v="54"/>
    <x v="1"/>
    <n v="2"/>
    <n v="110"/>
    <n v="214"/>
    <n v="0"/>
    <n v="1"/>
    <n v="158"/>
    <n v="0"/>
    <n v="1.6"/>
    <n v="1"/>
    <n v="0"/>
    <n v="2"/>
    <n v="1"/>
    <x v="1"/>
    <x v="1"/>
    <x v="2"/>
    <s v="Normal"/>
    <x v="0"/>
    <x v="3"/>
    <x v="3"/>
  </r>
  <r>
    <n v="60"/>
    <x v="0"/>
    <n v="0"/>
    <n v="130"/>
    <n v="206"/>
    <n v="0"/>
    <n v="0"/>
    <n v="132"/>
    <n v="1"/>
    <n v="2.4"/>
    <n v="1"/>
    <n v="2"/>
    <n v="3"/>
    <n v="0"/>
    <x v="0"/>
    <x v="0"/>
    <x v="0"/>
    <s v="Normal"/>
    <x v="1"/>
    <x v="0"/>
    <x v="2"/>
  </r>
  <r>
    <n v="58"/>
    <x v="0"/>
    <n v="0"/>
    <n v="150"/>
    <n v="270"/>
    <n v="0"/>
    <n v="0"/>
    <n v="111"/>
    <n v="1"/>
    <n v="0.8"/>
    <n v="2"/>
    <n v="0"/>
    <n v="3"/>
    <n v="0"/>
    <x v="0"/>
    <x v="0"/>
    <x v="0"/>
    <s v="Normal"/>
    <x v="1"/>
    <x v="1"/>
    <x v="1"/>
  </r>
  <r>
    <n v="57"/>
    <x v="0"/>
    <n v="2"/>
    <n v="150"/>
    <n v="126"/>
    <n v="1"/>
    <n v="1"/>
    <n v="173"/>
    <n v="0"/>
    <n v="0.2"/>
    <n v="2"/>
    <n v="1"/>
    <n v="3"/>
    <n v="1"/>
    <x v="0"/>
    <x v="1"/>
    <x v="2"/>
    <s v="High"/>
    <x v="0"/>
    <x v="0"/>
    <x v="1"/>
  </r>
  <r>
    <n v="54"/>
    <x v="0"/>
    <n v="2"/>
    <n v="125"/>
    <n v="273"/>
    <n v="0"/>
    <n v="0"/>
    <n v="152"/>
    <n v="0"/>
    <n v="0.5"/>
    <n v="0"/>
    <n v="1"/>
    <n v="2"/>
    <n v="1"/>
    <x v="0"/>
    <x v="1"/>
    <x v="2"/>
    <s v="Normal"/>
    <x v="0"/>
    <x v="0"/>
    <x v="0"/>
  </r>
  <r>
    <n v="56"/>
    <x v="0"/>
    <n v="2"/>
    <n v="130"/>
    <n v="256"/>
    <n v="1"/>
    <n v="0"/>
    <n v="142"/>
    <n v="1"/>
    <n v="0.6"/>
    <n v="1"/>
    <n v="1"/>
    <n v="1"/>
    <n v="0"/>
    <x v="0"/>
    <x v="0"/>
    <x v="2"/>
    <s v="High"/>
    <x v="1"/>
    <x v="0"/>
    <x v="2"/>
  </r>
  <r>
    <n v="60"/>
    <x v="0"/>
    <n v="0"/>
    <n v="130"/>
    <n v="253"/>
    <n v="0"/>
    <n v="1"/>
    <n v="144"/>
    <n v="1"/>
    <n v="1.4"/>
    <n v="2"/>
    <n v="1"/>
    <n v="3"/>
    <n v="0"/>
    <x v="0"/>
    <x v="0"/>
    <x v="0"/>
    <s v="Normal"/>
    <x v="1"/>
    <x v="0"/>
    <x v="2"/>
  </r>
  <r>
    <n v="38"/>
    <x v="0"/>
    <n v="2"/>
    <n v="138"/>
    <n v="175"/>
    <n v="0"/>
    <n v="1"/>
    <n v="173"/>
    <n v="0"/>
    <n v="0"/>
    <n v="2"/>
    <n v="4"/>
    <n v="2"/>
    <n v="1"/>
    <x v="0"/>
    <x v="1"/>
    <x v="2"/>
    <s v="Normal"/>
    <x v="0"/>
    <x v="1"/>
    <x v="2"/>
  </r>
  <r>
    <n v="44"/>
    <x v="0"/>
    <n v="2"/>
    <n v="120"/>
    <n v="226"/>
    <n v="0"/>
    <n v="1"/>
    <n v="169"/>
    <n v="0"/>
    <n v="0"/>
    <n v="2"/>
    <n v="0"/>
    <n v="2"/>
    <n v="1"/>
    <x v="0"/>
    <x v="1"/>
    <x v="2"/>
    <s v="Normal"/>
    <x v="0"/>
    <x v="3"/>
    <x v="0"/>
  </r>
  <r>
    <n v="65"/>
    <x v="1"/>
    <n v="2"/>
    <n v="155"/>
    <n v="269"/>
    <n v="0"/>
    <n v="1"/>
    <n v="148"/>
    <n v="0"/>
    <n v="0.8"/>
    <n v="2"/>
    <n v="0"/>
    <n v="2"/>
    <n v="1"/>
    <x v="1"/>
    <x v="1"/>
    <x v="2"/>
    <s v="Normal"/>
    <x v="0"/>
    <x v="2"/>
    <x v="1"/>
  </r>
  <r>
    <n v="52"/>
    <x v="0"/>
    <n v="2"/>
    <n v="172"/>
    <n v="199"/>
    <n v="1"/>
    <n v="1"/>
    <n v="162"/>
    <n v="0"/>
    <n v="0.5"/>
    <n v="2"/>
    <n v="0"/>
    <n v="3"/>
    <n v="1"/>
    <x v="0"/>
    <x v="1"/>
    <x v="2"/>
    <s v="High"/>
    <x v="0"/>
    <x v="1"/>
    <x v="1"/>
  </r>
  <r>
    <n v="41"/>
    <x v="0"/>
    <n v="1"/>
    <n v="120"/>
    <n v="157"/>
    <n v="0"/>
    <n v="1"/>
    <n v="182"/>
    <n v="0"/>
    <n v="0"/>
    <n v="2"/>
    <n v="0"/>
    <n v="2"/>
    <n v="1"/>
    <x v="0"/>
    <x v="1"/>
    <x v="1"/>
    <s v="Normal"/>
    <x v="0"/>
    <x v="0"/>
    <x v="0"/>
  </r>
  <r>
    <n v="66"/>
    <x v="0"/>
    <n v="1"/>
    <n v="160"/>
    <n v="246"/>
    <n v="0"/>
    <n v="1"/>
    <n v="120"/>
    <n v="1"/>
    <n v="0"/>
    <n v="1"/>
    <n v="3"/>
    <n v="1"/>
    <n v="0"/>
    <x v="0"/>
    <x v="0"/>
    <x v="1"/>
    <s v="Normal"/>
    <x v="1"/>
    <x v="2"/>
    <x v="1"/>
  </r>
  <r>
    <n v="50"/>
    <x v="0"/>
    <n v="0"/>
    <n v="150"/>
    <n v="243"/>
    <n v="0"/>
    <n v="0"/>
    <n v="128"/>
    <n v="0"/>
    <n v="2.6"/>
    <n v="1"/>
    <n v="0"/>
    <n v="3"/>
    <n v="0"/>
    <x v="0"/>
    <x v="0"/>
    <x v="0"/>
    <s v="Normal"/>
    <x v="0"/>
    <x v="1"/>
    <x v="1"/>
  </r>
  <r>
    <n v="54"/>
    <x v="1"/>
    <n v="2"/>
    <n v="108"/>
    <n v="267"/>
    <n v="0"/>
    <n v="0"/>
    <n v="167"/>
    <n v="0"/>
    <n v="0"/>
    <n v="2"/>
    <n v="0"/>
    <n v="2"/>
    <n v="1"/>
    <x v="1"/>
    <x v="1"/>
    <x v="2"/>
    <s v="Normal"/>
    <x v="0"/>
    <x v="0"/>
    <x v="3"/>
  </r>
  <r>
    <n v="43"/>
    <x v="0"/>
    <n v="0"/>
    <n v="132"/>
    <n v="247"/>
    <n v="1"/>
    <n v="0"/>
    <n v="143"/>
    <n v="1"/>
    <n v="0.1"/>
    <n v="1"/>
    <n v="4"/>
    <n v="3"/>
    <n v="0"/>
    <x v="0"/>
    <x v="0"/>
    <x v="0"/>
    <s v="High"/>
    <x v="1"/>
    <x v="0"/>
    <x v="2"/>
  </r>
  <r>
    <n v="62"/>
    <x v="1"/>
    <n v="2"/>
    <n v="130"/>
    <n v="263"/>
    <n v="0"/>
    <n v="1"/>
    <n v="97"/>
    <n v="0"/>
    <n v="1.2"/>
    <n v="1"/>
    <n v="1"/>
    <n v="3"/>
    <n v="0"/>
    <x v="1"/>
    <x v="0"/>
    <x v="2"/>
    <s v="Normal"/>
    <x v="0"/>
    <x v="2"/>
    <x v="2"/>
  </r>
  <r>
    <n v="66"/>
    <x v="0"/>
    <n v="0"/>
    <n v="120"/>
    <n v="302"/>
    <n v="0"/>
    <n v="0"/>
    <n v="151"/>
    <n v="0"/>
    <n v="0.4"/>
    <n v="1"/>
    <n v="0"/>
    <n v="2"/>
    <n v="1"/>
    <x v="0"/>
    <x v="1"/>
    <x v="0"/>
    <s v="Normal"/>
    <x v="0"/>
    <x v="1"/>
    <x v="0"/>
  </r>
  <r>
    <n v="50"/>
    <x v="0"/>
    <n v="0"/>
    <n v="144"/>
    <n v="200"/>
    <n v="0"/>
    <n v="0"/>
    <n v="126"/>
    <n v="1"/>
    <n v="0.9"/>
    <n v="1"/>
    <n v="0"/>
    <n v="3"/>
    <n v="0"/>
    <x v="0"/>
    <x v="0"/>
    <x v="0"/>
    <s v="Normal"/>
    <x v="1"/>
    <x v="1"/>
    <x v="1"/>
  </r>
  <r>
    <n v="57"/>
    <x v="0"/>
    <n v="0"/>
    <n v="110"/>
    <n v="335"/>
    <n v="0"/>
    <n v="1"/>
    <n v="143"/>
    <n v="1"/>
    <n v="3"/>
    <n v="1"/>
    <n v="1"/>
    <n v="3"/>
    <n v="0"/>
    <x v="0"/>
    <x v="0"/>
    <x v="0"/>
    <s v="Normal"/>
    <x v="1"/>
    <x v="0"/>
    <x v="3"/>
  </r>
  <r>
    <n v="57"/>
    <x v="0"/>
    <n v="0"/>
    <n v="110"/>
    <n v="201"/>
    <n v="0"/>
    <n v="1"/>
    <n v="126"/>
    <n v="1"/>
    <n v="1.5"/>
    <n v="1"/>
    <n v="0"/>
    <n v="1"/>
    <n v="1"/>
    <x v="0"/>
    <x v="1"/>
    <x v="0"/>
    <s v="Normal"/>
    <x v="1"/>
    <x v="0"/>
    <x v="3"/>
  </r>
  <r>
    <n v="57"/>
    <x v="0"/>
    <n v="1"/>
    <n v="124"/>
    <n v="261"/>
    <n v="0"/>
    <n v="1"/>
    <n v="141"/>
    <n v="0"/>
    <n v="0.3"/>
    <n v="2"/>
    <n v="0"/>
    <n v="3"/>
    <n v="0"/>
    <x v="0"/>
    <x v="0"/>
    <x v="1"/>
    <s v="Normal"/>
    <x v="0"/>
    <x v="0"/>
    <x v="0"/>
  </r>
  <r>
    <n v="46"/>
    <x v="1"/>
    <n v="0"/>
    <n v="138"/>
    <n v="243"/>
    <n v="0"/>
    <n v="0"/>
    <n v="152"/>
    <n v="1"/>
    <n v="0"/>
    <n v="1"/>
    <n v="0"/>
    <n v="2"/>
    <n v="1"/>
    <x v="1"/>
    <x v="1"/>
    <x v="0"/>
    <s v="Normal"/>
    <x v="1"/>
    <x v="0"/>
    <x v="2"/>
  </r>
  <r>
    <n v="59"/>
    <x v="0"/>
    <n v="0"/>
    <n v="164"/>
    <n v="176"/>
    <n v="1"/>
    <n v="0"/>
    <n v="90"/>
    <n v="0"/>
    <n v="1"/>
    <n v="1"/>
    <n v="2"/>
    <n v="1"/>
    <n v="0"/>
    <x v="0"/>
    <x v="0"/>
    <x v="0"/>
    <s v="High"/>
    <x v="0"/>
    <x v="2"/>
    <x v="1"/>
  </r>
  <r>
    <n v="67"/>
    <x v="0"/>
    <n v="0"/>
    <n v="160"/>
    <n v="286"/>
    <n v="0"/>
    <n v="0"/>
    <n v="108"/>
    <n v="1"/>
    <n v="1.5"/>
    <n v="1"/>
    <n v="3"/>
    <n v="2"/>
    <n v="0"/>
    <x v="0"/>
    <x v="0"/>
    <x v="0"/>
    <s v="Normal"/>
    <x v="1"/>
    <x v="0"/>
    <x v="1"/>
  </r>
  <r>
    <n v="59"/>
    <x v="0"/>
    <n v="3"/>
    <n v="134"/>
    <n v="204"/>
    <n v="0"/>
    <n v="1"/>
    <n v="162"/>
    <n v="0"/>
    <n v="0.8"/>
    <n v="2"/>
    <n v="2"/>
    <n v="2"/>
    <n v="0"/>
    <x v="0"/>
    <x v="0"/>
    <x v="3"/>
    <s v="Normal"/>
    <x v="0"/>
    <x v="1"/>
    <x v="2"/>
  </r>
  <r>
    <n v="53"/>
    <x v="1"/>
    <n v="2"/>
    <n v="128"/>
    <n v="216"/>
    <n v="0"/>
    <n v="0"/>
    <n v="115"/>
    <n v="0"/>
    <n v="0"/>
    <n v="2"/>
    <n v="0"/>
    <n v="0"/>
    <n v="1"/>
    <x v="1"/>
    <x v="1"/>
    <x v="2"/>
    <s v="Normal"/>
    <x v="0"/>
    <x v="0"/>
    <x v="0"/>
  </r>
  <r>
    <n v="48"/>
    <x v="0"/>
    <n v="0"/>
    <n v="122"/>
    <n v="222"/>
    <n v="0"/>
    <n v="0"/>
    <n v="186"/>
    <n v="0"/>
    <n v="0"/>
    <n v="2"/>
    <n v="0"/>
    <n v="2"/>
    <n v="1"/>
    <x v="0"/>
    <x v="1"/>
    <x v="0"/>
    <s v="Normal"/>
    <x v="0"/>
    <x v="0"/>
    <x v="0"/>
  </r>
  <r>
    <n v="62"/>
    <x v="0"/>
    <n v="2"/>
    <n v="130"/>
    <n v="231"/>
    <n v="0"/>
    <n v="1"/>
    <n v="146"/>
    <n v="0"/>
    <n v="1.8"/>
    <n v="1"/>
    <n v="3"/>
    <n v="3"/>
    <n v="1"/>
    <x v="0"/>
    <x v="1"/>
    <x v="2"/>
    <s v="Normal"/>
    <x v="0"/>
    <x v="2"/>
    <x v="2"/>
  </r>
  <r>
    <n v="43"/>
    <x v="1"/>
    <n v="2"/>
    <n v="122"/>
    <n v="213"/>
    <n v="0"/>
    <n v="1"/>
    <n v="165"/>
    <n v="0"/>
    <n v="0.2"/>
    <n v="1"/>
    <n v="0"/>
    <n v="2"/>
    <n v="1"/>
    <x v="1"/>
    <x v="1"/>
    <x v="2"/>
    <s v="Normal"/>
    <x v="0"/>
    <x v="1"/>
    <x v="0"/>
  </r>
  <r>
    <n v="53"/>
    <x v="0"/>
    <n v="2"/>
    <n v="130"/>
    <n v="246"/>
    <n v="1"/>
    <n v="0"/>
    <n v="173"/>
    <n v="0"/>
    <n v="0"/>
    <n v="2"/>
    <n v="3"/>
    <n v="2"/>
    <n v="1"/>
    <x v="0"/>
    <x v="1"/>
    <x v="2"/>
    <s v="High"/>
    <x v="0"/>
    <x v="2"/>
    <x v="2"/>
  </r>
  <r>
    <n v="57"/>
    <x v="1"/>
    <n v="1"/>
    <n v="130"/>
    <n v="236"/>
    <n v="0"/>
    <n v="0"/>
    <n v="174"/>
    <n v="0"/>
    <n v="0"/>
    <n v="1"/>
    <n v="1"/>
    <n v="2"/>
    <n v="0"/>
    <x v="1"/>
    <x v="0"/>
    <x v="1"/>
    <s v="Normal"/>
    <x v="0"/>
    <x v="0"/>
    <x v="2"/>
  </r>
  <r>
    <n v="53"/>
    <x v="0"/>
    <n v="2"/>
    <n v="130"/>
    <n v="246"/>
    <n v="1"/>
    <n v="0"/>
    <n v="173"/>
    <n v="0"/>
    <n v="0"/>
    <n v="2"/>
    <n v="3"/>
    <n v="2"/>
    <n v="1"/>
    <x v="0"/>
    <x v="1"/>
    <x v="2"/>
    <s v="High"/>
    <x v="0"/>
    <x v="0"/>
    <x v="2"/>
  </r>
  <r>
    <n v="58"/>
    <x v="0"/>
    <n v="2"/>
    <n v="112"/>
    <n v="230"/>
    <n v="0"/>
    <n v="0"/>
    <n v="165"/>
    <n v="0"/>
    <n v="2.5"/>
    <n v="1"/>
    <n v="1"/>
    <n v="3"/>
    <n v="0"/>
    <x v="0"/>
    <x v="0"/>
    <x v="2"/>
    <s v="Normal"/>
    <x v="0"/>
    <x v="0"/>
    <x v="3"/>
  </r>
  <r>
    <n v="48"/>
    <x v="0"/>
    <n v="1"/>
    <n v="110"/>
    <n v="229"/>
    <n v="0"/>
    <n v="1"/>
    <n v="168"/>
    <n v="0"/>
    <n v="1"/>
    <n v="0"/>
    <n v="0"/>
    <n v="3"/>
    <n v="0"/>
    <x v="0"/>
    <x v="0"/>
    <x v="1"/>
    <s v="Normal"/>
    <x v="0"/>
    <x v="0"/>
    <x v="3"/>
  </r>
  <r>
    <n v="58"/>
    <x v="0"/>
    <n v="2"/>
    <n v="105"/>
    <n v="240"/>
    <n v="0"/>
    <n v="0"/>
    <n v="154"/>
    <n v="1"/>
    <n v="0.6"/>
    <n v="1"/>
    <n v="0"/>
    <n v="3"/>
    <n v="1"/>
    <x v="0"/>
    <x v="1"/>
    <x v="2"/>
    <s v="Normal"/>
    <x v="1"/>
    <x v="2"/>
    <x v="3"/>
  </r>
  <r>
    <n v="51"/>
    <x v="0"/>
    <n v="2"/>
    <n v="110"/>
    <n v="175"/>
    <n v="0"/>
    <n v="1"/>
    <n v="123"/>
    <n v="0"/>
    <n v="0.6"/>
    <n v="2"/>
    <n v="0"/>
    <n v="2"/>
    <n v="1"/>
    <x v="0"/>
    <x v="1"/>
    <x v="2"/>
    <s v="Normal"/>
    <x v="0"/>
    <x v="0"/>
    <x v="3"/>
  </r>
  <r>
    <n v="43"/>
    <x v="1"/>
    <n v="0"/>
    <n v="132"/>
    <n v="341"/>
    <n v="1"/>
    <n v="0"/>
    <n v="136"/>
    <n v="1"/>
    <n v="3"/>
    <n v="1"/>
    <n v="0"/>
    <n v="3"/>
    <n v="0"/>
    <x v="1"/>
    <x v="0"/>
    <x v="0"/>
    <s v="High"/>
    <x v="1"/>
    <x v="0"/>
    <x v="2"/>
  </r>
  <r>
    <n v="55"/>
    <x v="0"/>
    <n v="0"/>
    <n v="132"/>
    <n v="353"/>
    <n v="0"/>
    <n v="1"/>
    <n v="132"/>
    <n v="1"/>
    <n v="1.2"/>
    <n v="1"/>
    <n v="1"/>
    <n v="3"/>
    <n v="0"/>
    <x v="0"/>
    <x v="0"/>
    <x v="0"/>
    <s v="Normal"/>
    <x v="1"/>
    <x v="2"/>
    <x v="2"/>
  </r>
  <r>
    <n v="54"/>
    <x v="1"/>
    <n v="2"/>
    <n v="110"/>
    <n v="214"/>
    <n v="0"/>
    <n v="1"/>
    <n v="158"/>
    <n v="0"/>
    <n v="1.6"/>
    <n v="1"/>
    <n v="0"/>
    <n v="2"/>
    <n v="1"/>
    <x v="1"/>
    <x v="1"/>
    <x v="2"/>
    <s v="Normal"/>
    <x v="0"/>
    <x v="0"/>
    <x v="3"/>
  </r>
  <r>
    <n v="58"/>
    <x v="0"/>
    <n v="1"/>
    <n v="120"/>
    <n v="284"/>
    <n v="0"/>
    <n v="0"/>
    <n v="160"/>
    <n v="0"/>
    <n v="1.8"/>
    <n v="1"/>
    <n v="0"/>
    <n v="2"/>
    <n v="0"/>
    <x v="0"/>
    <x v="0"/>
    <x v="1"/>
    <s v="Normal"/>
    <x v="0"/>
    <x v="0"/>
    <x v="0"/>
  </r>
  <r>
    <n v="46"/>
    <x v="1"/>
    <n v="2"/>
    <n v="142"/>
    <n v="177"/>
    <n v="0"/>
    <n v="0"/>
    <n v="160"/>
    <n v="1"/>
    <n v="1.4"/>
    <n v="0"/>
    <n v="0"/>
    <n v="2"/>
    <n v="1"/>
    <x v="1"/>
    <x v="1"/>
    <x v="2"/>
    <s v="Normal"/>
    <x v="1"/>
    <x v="0"/>
    <x v="1"/>
  </r>
  <r>
    <n v="66"/>
    <x v="0"/>
    <n v="0"/>
    <n v="160"/>
    <n v="228"/>
    <n v="0"/>
    <n v="0"/>
    <n v="138"/>
    <n v="0"/>
    <n v="2.2999999999999998"/>
    <n v="2"/>
    <n v="0"/>
    <n v="1"/>
    <n v="1"/>
    <x v="0"/>
    <x v="1"/>
    <x v="0"/>
    <s v="Normal"/>
    <x v="0"/>
    <x v="2"/>
    <x v="1"/>
  </r>
  <r>
    <n v="59"/>
    <x v="0"/>
    <n v="1"/>
    <n v="140"/>
    <n v="221"/>
    <n v="0"/>
    <n v="1"/>
    <n v="164"/>
    <n v="1"/>
    <n v="0"/>
    <n v="2"/>
    <n v="0"/>
    <n v="2"/>
    <n v="1"/>
    <x v="0"/>
    <x v="1"/>
    <x v="1"/>
    <s v="Normal"/>
    <x v="1"/>
    <x v="1"/>
    <x v="1"/>
  </r>
  <r>
    <n v="64"/>
    <x v="1"/>
    <n v="0"/>
    <n v="130"/>
    <n v="303"/>
    <n v="0"/>
    <n v="1"/>
    <n v="122"/>
    <n v="0"/>
    <n v="2"/>
    <n v="1"/>
    <n v="2"/>
    <n v="2"/>
    <n v="1"/>
    <x v="1"/>
    <x v="1"/>
    <x v="0"/>
    <s v="Normal"/>
    <x v="0"/>
    <x v="0"/>
    <x v="2"/>
  </r>
  <r>
    <n v="67"/>
    <x v="0"/>
    <n v="0"/>
    <n v="120"/>
    <n v="237"/>
    <n v="0"/>
    <n v="1"/>
    <n v="71"/>
    <n v="0"/>
    <n v="1"/>
    <n v="1"/>
    <n v="0"/>
    <n v="2"/>
    <n v="0"/>
    <x v="0"/>
    <x v="0"/>
    <x v="0"/>
    <s v="Normal"/>
    <x v="0"/>
    <x v="1"/>
    <x v="0"/>
  </r>
  <r>
    <n v="52"/>
    <x v="0"/>
    <n v="3"/>
    <n v="118"/>
    <n v="186"/>
    <n v="0"/>
    <n v="0"/>
    <n v="190"/>
    <n v="0"/>
    <n v="0"/>
    <n v="1"/>
    <n v="0"/>
    <n v="1"/>
    <n v="1"/>
    <x v="0"/>
    <x v="1"/>
    <x v="3"/>
    <s v="Normal"/>
    <x v="0"/>
    <x v="1"/>
    <x v="3"/>
  </r>
  <r>
    <n v="58"/>
    <x v="0"/>
    <n v="0"/>
    <n v="146"/>
    <n v="218"/>
    <n v="0"/>
    <n v="1"/>
    <n v="105"/>
    <n v="0"/>
    <n v="2"/>
    <n v="1"/>
    <n v="1"/>
    <n v="3"/>
    <n v="0"/>
    <x v="0"/>
    <x v="0"/>
    <x v="0"/>
    <s v="Normal"/>
    <x v="0"/>
    <x v="0"/>
    <x v="1"/>
  </r>
  <r>
    <n v="58"/>
    <x v="0"/>
    <n v="2"/>
    <n v="132"/>
    <n v="224"/>
    <n v="0"/>
    <n v="0"/>
    <n v="173"/>
    <n v="0"/>
    <n v="3.2"/>
    <n v="2"/>
    <n v="2"/>
    <n v="3"/>
    <n v="0"/>
    <x v="0"/>
    <x v="0"/>
    <x v="2"/>
    <s v="Normal"/>
    <x v="0"/>
    <x v="0"/>
    <x v="2"/>
  </r>
  <r>
    <n v="59"/>
    <x v="0"/>
    <n v="0"/>
    <n v="110"/>
    <n v="239"/>
    <n v="0"/>
    <n v="0"/>
    <n v="142"/>
    <n v="1"/>
    <n v="1.2"/>
    <n v="1"/>
    <n v="1"/>
    <n v="3"/>
    <n v="0"/>
    <x v="0"/>
    <x v="0"/>
    <x v="0"/>
    <s v="Normal"/>
    <x v="1"/>
    <x v="0"/>
    <x v="3"/>
  </r>
  <r>
    <n v="58"/>
    <x v="0"/>
    <n v="0"/>
    <n v="150"/>
    <n v="270"/>
    <n v="0"/>
    <n v="0"/>
    <n v="111"/>
    <n v="1"/>
    <n v="0.8"/>
    <n v="2"/>
    <n v="0"/>
    <n v="3"/>
    <n v="0"/>
    <x v="0"/>
    <x v="0"/>
    <x v="0"/>
    <s v="Normal"/>
    <x v="1"/>
    <x v="0"/>
    <x v="1"/>
  </r>
  <r>
    <n v="35"/>
    <x v="0"/>
    <n v="0"/>
    <n v="126"/>
    <n v="282"/>
    <n v="0"/>
    <n v="0"/>
    <n v="156"/>
    <n v="1"/>
    <n v="0"/>
    <n v="2"/>
    <n v="0"/>
    <n v="3"/>
    <n v="0"/>
    <x v="0"/>
    <x v="0"/>
    <x v="0"/>
    <s v="Normal"/>
    <x v="1"/>
    <x v="0"/>
    <x v="0"/>
  </r>
  <r>
    <n v="51"/>
    <x v="0"/>
    <n v="2"/>
    <n v="110"/>
    <n v="175"/>
    <n v="0"/>
    <n v="1"/>
    <n v="123"/>
    <n v="0"/>
    <n v="0.6"/>
    <n v="2"/>
    <n v="0"/>
    <n v="2"/>
    <n v="1"/>
    <x v="0"/>
    <x v="1"/>
    <x v="2"/>
    <s v="Normal"/>
    <x v="0"/>
    <x v="3"/>
    <x v="3"/>
  </r>
  <r>
    <n v="42"/>
    <x v="1"/>
    <n v="2"/>
    <n v="120"/>
    <n v="209"/>
    <n v="0"/>
    <n v="1"/>
    <n v="173"/>
    <n v="0"/>
    <n v="0"/>
    <n v="1"/>
    <n v="0"/>
    <n v="2"/>
    <n v="1"/>
    <x v="1"/>
    <x v="1"/>
    <x v="2"/>
    <s v="Normal"/>
    <x v="0"/>
    <x v="0"/>
    <x v="0"/>
  </r>
  <r>
    <n v="77"/>
    <x v="0"/>
    <n v="0"/>
    <n v="125"/>
    <n v="304"/>
    <n v="0"/>
    <n v="0"/>
    <n v="162"/>
    <n v="1"/>
    <n v="0"/>
    <n v="2"/>
    <n v="3"/>
    <n v="2"/>
    <n v="0"/>
    <x v="0"/>
    <x v="0"/>
    <x v="0"/>
    <s v="Normal"/>
    <x v="1"/>
    <x v="2"/>
    <x v="0"/>
  </r>
  <r>
    <n v="64"/>
    <x v="0"/>
    <n v="0"/>
    <n v="120"/>
    <n v="246"/>
    <n v="0"/>
    <n v="0"/>
    <n v="96"/>
    <n v="1"/>
    <n v="2.2000000000000002"/>
    <n v="0"/>
    <n v="1"/>
    <n v="2"/>
    <n v="0"/>
    <x v="0"/>
    <x v="0"/>
    <x v="0"/>
    <s v="Normal"/>
    <x v="1"/>
    <x v="1"/>
    <x v="0"/>
  </r>
  <r>
    <n v="63"/>
    <x v="0"/>
    <n v="3"/>
    <n v="145"/>
    <n v="233"/>
    <n v="1"/>
    <n v="0"/>
    <n v="150"/>
    <n v="0"/>
    <n v="2.2999999999999998"/>
    <n v="0"/>
    <n v="0"/>
    <n v="1"/>
    <n v="1"/>
    <x v="0"/>
    <x v="1"/>
    <x v="3"/>
    <s v="High"/>
    <x v="0"/>
    <x v="1"/>
    <x v="1"/>
  </r>
  <r>
    <n v="58"/>
    <x v="1"/>
    <n v="1"/>
    <n v="136"/>
    <n v="319"/>
    <n v="1"/>
    <n v="0"/>
    <n v="152"/>
    <n v="0"/>
    <n v="0"/>
    <n v="2"/>
    <n v="2"/>
    <n v="2"/>
    <n v="0"/>
    <x v="1"/>
    <x v="0"/>
    <x v="1"/>
    <s v="High"/>
    <x v="0"/>
    <x v="1"/>
    <x v="2"/>
  </r>
  <r>
    <n v="45"/>
    <x v="0"/>
    <n v="3"/>
    <n v="110"/>
    <n v="264"/>
    <n v="0"/>
    <n v="1"/>
    <n v="132"/>
    <n v="0"/>
    <n v="1.2"/>
    <n v="1"/>
    <n v="0"/>
    <n v="3"/>
    <n v="0"/>
    <x v="0"/>
    <x v="0"/>
    <x v="3"/>
    <s v="Normal"/>
    <x v="0"/>
    <x v="0"/>
    <x v="3"/>
  </r>
  <r>
    <n v="51"/>
    <x v="0"/>
    <n v="2"/>
    <n v="110"/>
    <n v="175"/>
    <n v="0"/>
    <n v="1"/>
    <n v="123"/>
    <n v="0"/>
    <n v="0.6"/>
    <n v="2"/>
    <n v="0"/>
    <n v="2"/>
    <n v="1"/>
    <x v="0"/>
    <x v="1"/>
    <x v="2"/>
    <s v="Normal"/>
    <x v="0"/>
    <x v="2"/>
    <x v="3"/>
  </r>
  <r>
    <n v="62"/>
    <x v="1"/>
    <n v="0"/>
    <n v="160"/>
    <n v="164"/>
    <n v="0"/>
    <n v="0"/>
    <n v="145"/>
    <n v="0"/>
    <n v="6.2"/>
    <n v="0"/>
    <n v="3"/>
    <n v="3"/>
    <n v="0"/>
    <x v="1"/>
    <x v="0"/>
    <x v="0"/>
    <s v="Normal"/>
    <x v="0"/>
    <x v="0"/>
    <x v="1"/>
  </r>
  <r>
    <n v="63"/>
    <x v="0"/>
    <n v="0"/>
    <n v="130"/>
    <n v="330"/>
    <n v="1"/>
    <n v="0"/>
    <n v="132"/>
    <n v="1"/>
    <n v="1.8"/>
    <n v="2"/>
    <n v="3"/>
    <n v="3"/>
    <n v="0"/>
    <x v="0"/>
    <x v="0"/>
    <x v="0"/>
    <s v="High"/>
    <x v="1"/>
    <x v="1"/>
    <x v="2"/>
  </r>
  <r>
    <n v="66"/>
    <x v="1"/>
    <n v="2"/>
    <n v="146"/>
    <n v="278"/>
    <n v="0"/>
    <n v="0"/>
    <n v="152"/>
    <n v="0"/>
    <n v="0"/>
    <n v="1"/>
    <n v="1"/>
    <n v="2"/>
    <n v="1"/>
    <x v="1"/>
    <x v="1"/>
    <x v="2"/>
    <s v="Normal"/>
    <x v="0"/>
    <x v="1"/>
    <x v="1"/>
  </r>
  <r>
    <n v="68"/>
    <x v="0"/>
    <n v="2"/>
    <n v="180"/>
    <n v="274"/>
    <n v="1"/>
    <n v="0"/>
    <n v="150"/>
    <n v="1"/>
    <n v="1.6"/>
    <n v="1"/>
    <n v="0"/>
    <n v="3"/>
    <n v="0"/>
    <x v="0"/>
    <x v="0"/>
    <x v="2"/>
    <s v="High"/>
    <x v="1"/>
    <x v="1"/>
    <x v="1"/>
  </r>
  <r>
    <n v="40"/>
    <x v="0"/>
    <n v="0"/>
    <n v="110"/>
    <n v="167"/>
    <n v="0"/>
    <n v="0"/>
    <n v="114"/>
    <n v="1"/>
    <n v="2"/>
    <n v="1"/>
    <n v="0"/>
    <n v="3"/>
    <n v="0"/>
    <x v="0"/>
    <x v="0"/>
    <x v="0"/>
    <s v="Normal"/>
    <x v="1"/>
    <x v="1"/>
    <x v="3"/>
  </r>
  <r>
    <n v="66"/>
    <x v="0"/>
    <n v="0"/>
    <n v="160"/>
    <n v="228"/>
    <n v="0"/>
    <n v="0"/>
    <n v="138"/>
    <n v="0"/>
    <n v="2.2999999999999998"/>
    <n v="2"/>
    <n v="0"/>
    <n v="1"/>
    <n v="1"/>
    <x v="0"/>
    <x v="1"/>
    <x v="0"/>
    <s v="Normal"/>
    <x v="0"/>
    <x v="2"/>
    <x v="1"/>
  </r>
  <r>
    <n v="63"/>
    <x v="0"/>
    <n v="3"/>
    <n v="145"/>
    <n v="233"/>
    <n v="1"/>
    <n v="0"/>
    <n v="150"/>
    <n v="0"/>
    <n v="2.2999999999999998"/>
    <n v="0"/>
    <n v="0"/>
    <n v="1"/>
    <n v="1"/>
    <x v="0"/>
    <x v="1"/>
    <x v="3"/>
    <s v="High"/>
    <x v="0"/>
    <x v="1"/>
    <x v="1"/>
  </r>
  <r>
    <n v="49"/>
    <x v="0"/>
    <n v="2"/>
    <n v="120"/>
    <n v="188"/>
    <n v="0"/>
    <n v="1"/>
    <n v="139"/>
    <n v="0"/>
    <n v="2"/>
    <n v="1"/>
    <n v="3"/>
    <n v="3"/>
    <n v="0"/>
    <x v="0"/>
    <x v="0"/>
    <x v="2"/>
    <s v="Normal"/>
    <x v="0"/>
    <x v="1"/>
    <x v="0"/>
  </r>
  <r>
    <n v="71"/>
    <x v="1"/>
    <n v="0"/>
    <n v="112"/>
    <n v="149"/>
    <n v="0"/>
    <n v="1"/>
    <n v="125"/>
    <n v="0"/>
    <n v="1.6"/>
    <n v="1"/>
    <n v="0"/>
    <n v="2"/>
    <n v="1"/>
    <x v="1"/>
    <x v="1"/>
    <x v="0"/>
    <s v="Normal"/>
    <x v="0"/>
    <x v="2"/>
    <x v="3"/>
  </r>
  <r>
    <n v="70"/>
    <x v="0"/>
    <n v="1"/>
    <n v="156"/>
    <n v="245"/>
    <n v="0"/>
    <n v="0"/>
    <n v="143"/>
    <n v="0"/>
    <n v="0"/>
    <n v="2"/>
    <n v="0"/>
    <n v="2"/>
    <n v="1"/>
    <x v="0"/>
    <x v="1"/>
    <x v="1"/>
    <s v="Normal"/>
    <x v="0"/>
    <x v="1"/>
    <x v="1"/>
  </r>
  <r>
    <n v="46"/>
    <x v="1"/>
    <n v="1"/>
    <n v="105"/>
    <n v="204"/>
    <n v="0"/>
    <n v="1"/>
    <n v="172"/>
    <n v="0"/>
    <n v="0"/>
    <n v="2"/>
    <n v="0"/>
    <n v="2"/>
    <n v="1"/>
    <x v="1"/>
    <x v="1"/>
    <x v="1"/>
    <s v="Normal"/>
    <x v="0"/>
    <x v="1"/>
    <x v="3"/>
  </r>
  <r>
    <n v="61"/>
    <x v="0"/>
    <n v="0"/>
    <n v="140"/>
    <n v="207"/>
    <n v="0"/>
    <n v="0"/>
    <n v="138"/>
    <n v="1"/>
    <n v="1.9"/>
    <n v="2"/>
    <n v="1"/>
    <n v="3"/>
    <n v="0"/>
    <x v="0"/>
    <x v="0"/>
    <x v="0"/>
    <s v="Normal"/>
    <x v="1"/>
    <x v="2"/>
    <x v="1"/>
  </r>
  <r>
    <n v="56"/>
    <x v="0"/>
    <n v="2"/>
    <n v="130"/>
    <n v="256"/>
    <n v="1"/>
    <n v="0"/>
    <n v="142"/>
    <n v="1"/>
    <n v="0.6"/>
    <n v="1"/>
    <n v="1"/>
    <n v="1"/>
    <n v="0"/>
    <x v="0"/>
    <x v="0"/>
    <x v="2"/>
    <s v="High"/>
    <x v="1"/>
    <x v="1"/>
    <x v="2"/>
  </r>
  <r>
    <n v="58"/>
    <x v="0"/>
    <n v="2"/>
    <n v="140"/>
    <n v="211"/>
    <n v="1"/>
    <n v="0"/>
    <n v="165"/>
    <n v="0"/>
    <n v="0"/>
    <n v="2"/>
    <n v="0"/>
    <n v="2"/>
    <n v="1"/>
    <x v="0"/>
    <x v="1"/>
    <x v="2"/>
    <s v="High"/>
    <x v="0"/>
    <x v="0"/>
    <x v="1"/>
  </r>
  <r>
    <n v="58"/>
    <x v="0"/>
    <n v="0"/>
    <n v="100"/>
    <n v="234"/>
    <n v="0"/>
    <n v="1"/>
    <n v="156"/>
    <n v="0"/>
    <n v="0.1"/>
    <n v="2"/>
    <n v="1"/>
    <n v="3"/>
    <n v="0"/>
    <x v="0"/>
    <x v="0"/>
    <x v="0"/>
    <s v="Normal"/>
    <x v="0"/>
    <x v="0"/>
    <x v="3"/>
  </r>
  <r>
    <n v="46"/>
    <x v="1"/>
    <n v="0"/>
    <n v="138"/>
    <n v="243"/>
    <n v="0"/>
    <n v="0"/>
    <n v="152"/>
    <n v="1"/>
    <n v="0"/>
    <n v="1"/>
    <n v="0"/>
    <n v="2"/>
    <n v="1"/>
    <x v="1"/>
    <x v="1"/>
    <x v="0"/>
    <s v="Normal"/>
    <x v="1"/>
    <x v="0"/>
    <x v="2"/>
  </r>
  <r>
    <n v="46"/>
    <x v="0"/>
    <n v="2"/>
    <n v="150"/>
    <n v="231"/>
    <n v="0"/>
    <n v="1"/>
    <n v="147"/>
    <n v="0"/>
    <n v="3.6"/>
    <n v="1"/>
    <n v="0"/>
    <n v="2"/>
    <n v="0"/>
    <x v="0"/>
    <x v="0"/>
    <x v="2"/>
    <s v="Normal"/>
    <x v="0"/>
    <x v="2"/>
    <x v="1"/>
  </r>
  <r>
    <n v="41"/>
    <x v="1"/>
    <n v="1"/>
    <n v="105"/>
    <n v="198"/>
    <n v="0"/>
    <n v="1"/>
    <n v="168"/>
    <n v="0"/>
    <n v="0"/>
    <n v="2"/>
    <n v="1"/>
    <n v="2"/>
    <n v="1"/>
    <x v="1"/>
    <x v="1"/>
    <x v="1"/>
    <s v="Normal"/>
    <x v="0"/>
    <x v="2"/>
    <x v="3"/>
  </r>
  <r>
    <n v="56"/>
    <x v="0"/>
    <n v="0"/>
    <n v="125"/>
    <n v="249"/>
    <n v="1"/>
    <n v="0"/>
    <n v="144"/>
    <n v="1"/>
    <n v="1.2"/>
    <n v="1"/>
    <n v="1"/>
    <n v="2"/>
    <n v="0"/>
    <x v="0"/>
    <x v="0"/>
    <x v="0"/>
    <s v="High"/>
    <x v="1"/>
    <x v="2"/>
    <x v="0"/>
  </r>
  <r>
    <n v="57"/>
    <x v="0"/>
    <n v="0"/>
    <n v="150"/>
    <n v="276"/>
    <n v="0"/>
    <n v="0"/>
    <n v="112"/>
    <n v="1"/>
    <n v="0.6"/>
    <n v="1"/>
    <n v="1"/>
    <n v="1"/>
    <n v="0"/>
    <x v="0"/>
    <x v="0"/>
    <x v="0"/>
    <s v="Normal"/>
    <x v="1"/>
    <x v="0"/>
    <x v="1"/>
  </r>
  <r>
    <n v="70"/>
    <x v="0"/>
    <n v="0"/>
    <n v="130"/>
    <n v="322"/>
    <n v="0"/>
    <n v="0"/>
    <n v="109"/>
    <n v="0"/>
    <n v="2.4"/>
    <n v="1"/>
    <n v="3"/>
    <n v="2"/>
    <n v="0"/>
    <x v="0"/>
    <x v="0"/>
    <x v="0"/>
    <s v="Normal"/>
    <x v="0"/>
    <x v="0"/>
    <x v="2"/>
  </r>
  <r>
    <n v="59"/>
    <x v="0"/>
    <n v="3"/>
    <n v="170"/>
    <n v="288"/>
    <n v="0"/>
    <n v="0"/>
    <n v="159"/>
    <n v="0"/>
    <n v="0.2"/>
    <n v="1"/>
    <n v="0"/>
    <n v="3"/>
    <n v="0"/>
    <x v="0"/>
    <x v="0"/>
    <x v="3"/>
    <s v="Normal"/>
    <x v="0"/>
    <x v="1"/>
    <x v="1"/>
  </r>
  <r>
    <n v="41"/>
    <x v="1"/>
    <n v="1"/>
    <n v="130"/>
    <n v="204"/>
    <n v="0"/>
    <n v="0"/>
    <n v="172"/>
    <n v="0"/>
    <n v="1.4"/>
    <n v="2"/>
    <n v="0"/>
    <n v="2"/>
    <n v="1"/>
    <x v="1"/>
    <x v="1"/>
    <x v="1"/>
    <s v="Normal"/>
    <x v="0"/>
    <x v="0"/>
    <x v="2"/>
  </r>
  <r>
    <n v="54"/>
    <x v="0"/>
    <n v="2"/>
    <n v="125"/>
    <n v="273"/>
    <n v="0"/>
    <n v="0"/>
    <n v="152"/>
    <n v="0"/>
    <n v="0.5"/>
    <n v="0"/>
    <n v="1"/>
    <n v="2"/>
    <n v="1"/>
    <x v="0"/>
    <x v="1"/>
    <x v="2"/>
    <s v="Normal"/>
    <x v="0"/>
    <x v="2"/>
    <x v="0"/>
  </r>
  <r>
    <n v="52"/>
    <x v="0"/>
    <n v="2"/>
    <n v="138"/>
    <n v="223"/>
    <n v="0"/>
    <n v="1"/>
    <n v="169"/>
    <n v="0"/>
    <n v="0"/>
    <n v="2"/>
    <n v="4"/>
    <n v="2"/>
    <n v="1"/>
    <x v="0"/>
    <x v="1"/>
    <x v="2"/>
    <s v="Normal"/>
    <x v="0"/>
    <x v="0"/>
    <x v="2"/>
  </r>
  <r>
    <n v="62"/>
    <x v="1"/>
    <n v="0"/>
    <n v="124"/>
    <n v="209"/>
    <n v="0"/>
    <n v="1"/>
    <n v="163"/>
    <n v="0"/>
    <n v="0"/>
    <n v="2"/>
    <n v="0"/>
    <n v="2"/>
    <n v="1"/>
    <x v="1"/>
    <x v="1"/>
    <x v="0"/>
    <s v="Normal"/>
    <x v="0"/>
    <x v="0"/>
    <x v="0"/>
  </r>
  <r>
    <n v="65"/>
    <x v="1"/>
    <n v="2"/>
    <n v="160"/>
    <n v="360"/>
    <n v="0"/>
    <n v="0"/>
    <n v="151"/>
    <n v="0"/>
    <n v="0.8"/>
    <n v="2"/>
    <n v="0"/>
    <n v="2"/>
    <n v="1"/>
    <x v="1"/>
    <x v="1"/>
    <x v="2"/>
    <s v="Normal"/>
    <x v="0"/>
    <x v="1"/>
    <x v="1"/>
  </r>
  <r>
    <n v="57"/>
    <x v="1"/>
    <n v="0"/>
    <n v="128"/>
    <n v="303"/>
    <n v="0"/>
    <n v="0"/>
    <n v="159"/>
    <n v="0"/>
    <n v="0"/>
    <n v="2"/>
    <n v="1"/>
    <n v="2"/>
    <n v="1"/>
    <x v="1"/>
    <x v="1"/>
    <x v="0"/>
    <s v="Normal"/>
    <x v="0"/>
    <x v="1"/>
    <x v="0"/>
  </r>
  <r>
    <n v="42"/>
    <x v="1"/>
    <n v="0"/>
    <n v="102"/>
    <n v="265"/>
    <n v="0"/>
    <n v="0"/>
    <n v="122"/>
    <n v="0"/>
    <n v="0.6"/>
    <n v="1"/>
    <n v="0"/>
    <n v="2"/>
    <n v="1"/>
    <x v="1"/>
    <x v="1"/>
    <x v="0"/>
    <s v="Normal"/>
    <x v="0"/>
    <x v="0"/>
    <x v="3"/>
  </r>
  <r>
    <n v="57"/>
    <x v="1"/>
    <n v="0"/>
    <n v="120"/>
    <n v="354"/>
    <n v="0"/>
    <n v="1"/>
    <n v="163"/>
    <n v="1"/>
    <n v="0.6"/>
    <n v="2"/>
    <n v="0"/>
    <n v="2"/>
    <n v="1"/>
    <x v="1"/>
    <x v="1"/>
    <x v="0"/>
    <s v="Normal"/>
    <x v="1"/>
    <x v="2"/>
    <x v="0"/>
  </r>
  <r>
    <n v="58"/>
    <x v="1"/>
    <n v="1"/>
    <n v="136"/>
    <n v="319"/>
    <n v="1"/>
    <n v="0"/>
    <n v="152"/>
    <n v="0"/>
    <n v="0"/>
    <n v="2"/>
    <n v="2"/>
    <n v="2"/>
    <n v="0"/>
    <x v="1"/>
    <x v="0"/>
    <x v="1"/>
    <s v="High"/>
    <x v="0"/>
    <x v="0"/>
    <x v="2"/>
  </r>
  <r>
    <n v="45"/>
    <x v="0"/>
    <n v="0"/>
    <n v="142"/>
    <n v="309"/>
    <n v="0"/>
    <n v="0"/>
    <n v="147"/>
    <n v="1"/>
    <n v="0"/>
    <n v="1"/>
    <n v="3"/>
    <n v="3"/>
    <n v="0"/>
    <x v="0"/>
    <x v="0"/>
    <x v="0"/>
    <s v="Normal"/>
    <x v="1"/>
    <x v="0"/>
    <x v="1"/>
  </r>
  <r>
    <n v="51"/>
    <x v="1"/>
    <n v="0"/>
    <n v="130"/>
    <n v="305"/>
    <n v="0"/>
    <n v="1"/>
    <n v="142"/>
    <n v="1"/>
    <n v="1.2"/>
    <n v="1"/>
    <n v="0"/>
    <n v="3"/>
    <n v="0"/>
    <x v="1"/>
    <x v="0"/>
    <x v="0"/>
    <s v="Normal"/>
    <x v="1"/>
    <x v="2"/>
    <x v="2"/>
  </r>
  <r>
    <n v="54"/>
    <x v="1"/>
    <n v="2"/>
    <n v="160"/>
    <n v="201"/>
    <n v="0"/>
    <n v="1"/>
    <n v="163"/>
    <n v="0"/>
    <n v="0"/>
    <n v="2"/>
    <n v="1"/>
    <n v="2"/>
    <n v="1"/>
    <x v="1"/>
    <x v="1"/>
    <x v="2"/>
    <s v="Normal"/>
    <x v="0"/>
    <x v="0"/>
    <x v="1"/>
  </r>
  <r>
    <n v="57"/>
    <x v="0"/>
    <n v="2"/>
    <n v="150"/>
    <n v="168"/>
    <n v="0"/>
    <n v="1"/>
    <n v="174"/>
    <n v="0"/>
    <n v="1.6"/>
    <n v="2"/>
    <n v="0"/>
    <n v="2"/>
    <n v="1"/>
    <x v="0"/>
    <x v="1"/>
    <x v="2"/>
    <s v="Normal"/>
    <x v="0"/>
    <x v="0"/>
    <x v="1"/>
  </r>
  <r>
    <n v="43"/>
    <x v="0"/>
    <n v="0"/>
    <n v="132"/>
    <n v="247"/>
    <n v="1"/>
    <n v="0"/>
    <n v="143"/>
    <n v="1"/>
    <n v="0.1"/>
    <n v="1"/>
    <n v="4"/>
    <n v="3"/>
    <n v="0"/>
    <x v="0"/>
    <x v="0"/>
    <x v="0"/>
    <s v="High"/>
    <x v="1"/>
    <x v="0"/>
    <x v="2"/>
  </r>
  <r>
    <n v="47"/>
    <x v="0"/>
    <n v="2"/>
    <n v="108"/>
    <n v="243"/>
    <n v="0"/>
    <n v="1"/>
    <n v="152"/>
    <n v="0"/>
    <n v="0"/>
    <n v="2"/>
    <n v="0"/>
    <n v="2"/>
    <n v="0"/>
    <x v="0"/>
    <x v="0"/>
    <x v="2"/>
    <s v="Normal"/>
    <x v="0"/>
    <x v="2"/>
    <x v="3"/>
  </r>
  <r>
    <n v="67"/>
    <x v="0"/>
    <n v="2"/>
    <n v="152"/>
    <n v="212"/>
    <n v="0"/>
    <n v="0"/>
    <n v="150"/>
    <n v="0"/>
    <n v="0.8"/>
    <n v="1"/>
    <n v="0"/>
    <n v="3"/>
    <n v="0"/>
    <x v="0"/>
    <x v="0"/>
    <x v="2"/>
    <s v="Normal"/>
    <x v="0"/>
    <x v="2"/>
    <x v="1"/>
  </r>
  <r>
    <n v="65"/>
    <x v="1"/>
    <n v="0"/>
    <n v="150"/>
    <n v="225"/>
    <n v="0"/>
    <n v="0"/>
    <n v="114"/>
    <n v="0"/>
    <n v="1"/>
    <n v="1"/>
    <n v="3"/>
    <n v="3"/>
    <n v="0"/>
    <x v="1"/>
    <x v="0"/>
    <x v="0"/>
    <s v="Normal"/>
    <x v="0"/>
    <x v="1"/>
    <x v="1"/>
  </r>
  <r>
    <n v="60"/>
    <x v="1"/>
    <n v="2"/>
    <n v="102"/>
    <n v="318"/>
    <n v="0"/>
    <n v="1"/>
    <n v="160"/>
    <n v="0"/>
    <n v="0"/>
    <n v="2"/>
    <n v="1"/>
    <n v="2"/>
    <n v="1"/>
    <x v="1"/>
    <x v="1"/>
    <x v="2"/>
    <s v="Normal"/>
    <x v="0"/>
    <x v="1"/>
    <x v="3"/>
  </r>
  <r>
    <n v="37"/>
    <x v="0"/>
    <n v="2"/>
    <n v="130"/>
    <n v="250"/>
    <n v="0"/>
    <n v="1"/>
    <n v="187"/>
    <n v="0"/>
    <n v="3.5"/>
    <n v="0"/>
    <n v="0"/>
    <n v="2"/>
    <n v="1"/>
    <x v="0"/>
    <x v="1"/>
    <x v="2"/>
    <s v="Normal"/>
    <x v="0"/>
    <x v="1"/>
    <x v="2"/>
  </r>
  <r>
    <n v="41"/>
    <x v="1"/>
    <n v="2"/>
    <n v="112"/>
    <n v="268"/>
    <n v="0"/>
    <n v="0"/>
    <n v="172"/>
    <n v="1"/>
    <n v="0"/>
    <n v="2"/>
    <n v="0"/>
    <n v="2"/>
    <n v="1"/>
    <x v="1"/>
    <x v="1"/>
    <x v="2"/>
    <s v="Normal"/>
    <x v="1"/>
    <x v="3"/>
    <x v="3"/>
  </r>
  <r>
    <n v="57"/>
    <x v="1"/>
    <n v="0"/>
    <n v="120"/>
    <n v="354"/>
    <n v="0"/>
    <n v="1"/>
    <n v="163"/>
    <n v="1"/>
    <n v="0.6"/>
    <n v="2"/>
    <n v="0"/>
    <n v="2"/>
    <n v="1"/>
    <x v="1"/>
    <x v="1"/>
    <x v="0"/>
    <s v="Normal"/>
    <x v="1"/>
    <x v="2"/>
    <x v="0"/>
  </r>
  <r>
    <n v="59"/>
    <x v="1"/>
    <n v="0"/>
    <n v="174"/>
    <n v="249"/>
    <n v="0"/>
    <n v="1"/>
    <n v="143"/>
    <n v="1"/>
    <n v="0"/>
    <n v="1"/>
    <n v="0"/>
    <n v="2"/>
    <n v="0"/>
    <x v="1"/>
    <x v="0"/>
    <x v="0"/>
    <s v="Normal"/>
    <x v="1"/>
    <x v="0"/>
    <x v="1"/>
  </r>
  <r>
    <n v="67"/>
    <x v="0"/>
    <n v="0"/>
    <n v="120"/>
    <n v="229"/>
    <n v="0"/>
    <n v="0"/>
    <n v="129"/>
    <n v="1"/>
    <n v="2.6"/>
    <n v="1"/>
    <n v="2"/>
    <n v="3"/>
    <n v="0"/>
    <x v="0"/>
    <x v="0"/>
    <x v="0"/>
    <s v="Normal"/>
    <x v="1"/>
    <x v="0"/>
    <x v="0"/>
  </r>
  <r>
    <n v="47"/>
    <x v="0"/>
    <n v="2"/>
    <n v="130"/>
    <n v="253"/>
    <n v="0"/>
    <n v="1"/>
    <n v="179"/>
    <n v="0"/>
    <n v="0"/>
    <n v="2"/>
    <n v="0"/>
    <n v="2"/>
    <n v="1"/>
    <x v="0"/>
    <x v="1"/>
    <x v="2"/>
    <s v="Normal"/>
    <x v="0"/>
    <x v="1"/>
    <x v="2"/>
  </r>
  <r>
    <n v="58"/>
    <x v="0"/>
    <n v="1"/>
    <n v="120"/>
    <n v="284"/>
    <n v="0"/>
    <n v="0"/>
    <n v="160"/>
    <n v="0"/>
    <n v="1.8"/>
    <n v="1"/>
    <n v="0"/>
    <n v="2"/>
    <n v="0"/>
    <x v="0"/>
    <x v="0"/>
    <x v="1"/>
    <s v="Normal"/>
    <x v="0"/>
    <x v="2"/>
    <x v="0"/>
  </r>
  <r>
    <n v="62"/>
    <x v="1"/>
    <n v="0"/>
    <n v="150"/>
    <n v="244"/>
    <n v="0"/>
    <n v="1"/>
    <n v="154"/>
    <n v="1"/>
    <n v="1.4"/>
    <n v="1"/>
    <n v="0"/>
    <n v="2"/>
    <n v="0"/>
    <x v="1"/>
    <x v="0"/>
    <x v="0"/>
    <s v="Normal"/>
    <x v="1"/>
    <x v="0"/>
    <x v="1"/>
  </r>
  <r>
    <n v="60"/>
    <x v="0"/>
    <n v="0"/>
    <n v="140"/>
    <n v="293"/>
    <n v="0"/>
    <n v="0"/>
    <n v="170"/>
    <n v="0"/>
    <n v="1.2"/>
    <n v="1"/>
    <n v="2"/>
    <n v="3"/>
    <n v="0"/>
    <x v="0"/>
    <x v="0"/>
    <x v="0"/>
    <s v="Normal"/>
    <x v="0"/>
    <x v="1"/>
    <x v="1"/>
  </r>
  <r>
    <n v="57"/>
    <x v="0"/>
    <n v="0"/>
    <n v="152"/>
    <n v="274"/>
    <n v="0"/>
    <n v="1"/>
    <n v="88"/>
    <n v="1"/>
    <n v="1.2"/>
    <n v="1"/>
    <n v="1"/>
    <n v="3"/>
    <n v="0"/>
    <x v="0"/>
    <x v="0"/>
    <x v="0"/>
    <s v="Normal"/>
    <x v="1"/>
    <x v="1"/>
    <x v="1"/>
  </r>
  <r>
    <n v="57"/>
    <x v="0"/>
    <n v="2"/>
    <n v="150"/>
    <n v="168"/>
    <n v="0"/>
    <n v="1"/>
    <n v="174"/>
    <n v="0"/>
    <n v="1.6"/>
    <n v="2"/>
    <n v="0"/>
    <n v="2"/>
    <n v="1"/>
    <x v="0"/>
    <x v="1"/>
    <x v="2"/>
    <s v="Normal"/>
    <x v="0"/>
    <x v="0"/>
    <x v="1"/>
  </r>
  <r>
    <n v="47"/>
    <x v="0"/>
    <n v="2"/>
    <n v="130"/>
    <n v="253"/>
    <n v="0"/>
    <n v="1"/>
    <n v="179"/>
    <n v="0"/>
    <n v="0"/>
    <n v="2"/>
    <n v="0"/>
    <n v="2"/>
    <n v="1"/>
    <x v="0"/>
    <x v="1"/>
    <x v="2"/>
    <s v="Normal"/>
    <x v="0"/>
    <x v="0"/>
    <x v="2"/>
  </r>
  <r>
    <n v="52"/>
    <x v="0"/>
    <n v="1"/>
    <n v="128"/>
    <n v="205"/>
    <n v="1"/>
    <n v="1"/>
    <n v="184"/>
    <n v="0"/>
    <n v="0"/>
    <n v="2"/>
    <n v="0"/>
    <n v="2"/>
    <n v="1"/>
    <x v="0"/>
    <x v="1"/>
    <x v="1"/>
    <s v="High"/>
    <x v="0"/>
    <x v="2"/>
    <x v="0"/>
  </r>
  <r>
    <n v="53"/>
    <x v="0"/>
    <n v="2"/>
    <n v="130"/>
    <n v="246"/>
    <n v="1"/>
    <n v="0"/>
    <n v="173"/>
    <n v="0"/>
    <n v="0"/>
    <n v="2"/>
    <n v="3"/>
    <n v="2"/>
    <n v="1"/>
    <x v="0"/>
    <x v="1"/>
    <x v="2"/>
    <s v="High"/>
    <x v="0"/>
    <x v="0"/>
    <x v="2"/>
  </r>
  <r>
    <n v="55"/>
    <x v="0"/>
    <n v="0"/>
    <n v="160"/>
    <n v="289"/>
    <n v="0"/>
    <n v="0"/>
    <n v="145"/>
    <n v="1"/>
    <n v="0.8"/>
    <n v="1"/>
    <n v="1"/>
    <n v="3"/>
    <n v="0"/>
    <x v="0"/>
    <x v="0"/>
    <x v="0"/>
    <s v="Normal"/>
    <x v="1"/>
    <x v="0"/>
    <x v="1"/>
  </r>
  <r>
    <n v="51"/>
    <x v="1"/>
    <n v="2"/>
    <n v="120"/>
    <n v="295"/>
    <n v="0"/>
    <n v="0"/>
    <n v="157"/>
    <n v="0"/>
    <n v="0.6"/>
    <n v="2"/>
    <n v="0"/>
    <n v="2"/>
    <n v="1"/>
    <x v="1"/>
    <x v="1"/>
    <x v="2"/>
    <s v="Normal"/>
    <x v="0"/>
    <x v="0"/>
    <x v="0"/>
  </r>
  <r>
    <n v="52"/>
    <x v="0"/>
    <n v="0"/>
    <n v="112"/>
    <n v="230"/>
    <n v="0"/>
    <n v="1"/>
    <n v="160"/>
    <n v="0"/>
    <n v="0"/>
    <n v="2"/>
    <n v="1"/>
    <n v="2"/>
    <n v="0"/>
    <x v="0"/>
    <x v="0"/>
    <x v="0"/>
    <s v="Normal"/>
    <x v="0"/>
    <x v="0"/>
    <x v="3"/>
  </r>
  <r>
    <n v="63"/>
    <x v="1"/>
    <n v="0"/>
    <n v="150"/>
    <n v="407"/>
    <n v="0"/>
    <n v="0"/>
    <n v="154"/>
    <n v="0"/>
    <n v="4"/>
    <n v="1"/>
    <n v="3"/>
    <n v="3"/>
    <n v="0"/>
    <x v="1"/>
    <x v="0"/>
    <x v="0"/>
    <s v="Normal"/>
    <x v="0"/>
    <x v="0"/>
    <x v="1"/>
  </r>
  <r>
    <n v="49"/>
    <x v="1"/>
    <n v="1"/>
    <n v="134"/>
    <n v="271"/>
    <n v="0"/>
    <n v="1"/>
    <n v="162"/>
    <n v="0"/>
    <n v="0"/>
    <n v="1"/>
    <n v="0"/>
    <n v="2"/>
    <n v="1"/>
    <x v="1"/>
    <x v="1"/>
    <x v="1"/>
    <s v="Normal"/>
    <x v="0"/>
    <x v="1"/>
    <x v="2"/>
  </r>
  <r>
    <n v="66"/>
    <x v="1"/>
    <n v="0"/>
    <n v="178"/>
    <n v="228"/>
    <n v="1"/>
    <n v="1"/>
    <n v="165"/>
    <n v="1"/>
    <n v="1"/>
    <n v="1"/>
    <n v="2"/>
    <n v="3"/>
    <n v="0"/>
    <x v="1"/>
    <x v="0"/>
    <x v="0"/>
    <s v="High"/>
    <x v="1"/>
    <x v="2"/>
    <x v="1"/>
  </r>
  <r>
    <n v="49"/>
    <x v="1"/>
    <n v="1"/>
    <n v="134"/>
    <n v="271"/>
    <n v="0"/>
    <n v="1"/>
    <n v="162"/>
    <n v="0"/>
    <n v="0"/>
    <n v="1"/>
    <n v="0"/>
    <n v="2"/>
    <n v="1"/>
    <x v="1"/>
    <x v="1"/>
    <x v="1"/>
    <s v="Normal"/>
    <x v="0"/>
    <x v="1"/>
    <x v="2"/>
  </r>
  <r>
    <n v="65"/>
    <x v="1"/>
    <n v="0"/>
    <n v="150"/>
    <n v="225"/>
    <n v="0"/>
    <n v="0"/>
    <n v="114"/>
    <n v="0"/>
    <n v="1"/>
    <n v="1"/>
    <n v="3"/>
    <n v="3"/>
    <n v="0"/>
    <x v="1"/>
    <x v="0"/>
    <x v="0"/>
    <s v="Normal"/>
    <x v="0"/>
    <x v="2"/>
    <x v="1"/>
  </r>
  <r>
    <n v="69"/>
    <x v="0"/>
    <n v="3"/>
    <n v="160"/>
    <n v="234"/>
    <n v="1"/>
    <n v="0"/>
    <n v="131"/>
    <n v="0"/>
    <n v="0.1"/>
    <n v="1"/>
    <n v="1"/>
    <n v="2"/>
    <n v="1"/>
    <x v="0"/>
    <x v="1"/>
    <x v="3"/>
    <s v="High"/>
    <x v="0"/>
    <x v="1"/>
    <x v="1"/>
  </r>
  <r>
    <n v="47"/>
    <x v="0"/>
    <n v="2"/>
    <n v="108"/>
    <n v="243"/>
    <n v="0"/>
    <n v="1"/>
    <n v="152"/>
    <n v="0"/>
    <n v="0"/>
    <n v="2"/>
    <n v="0"/>
    <n v="2"/>
    <n v="0"/>
    <x v="0"/>
    <x v="0"/>
    <x v="2"/>
    <s v="Normal"/>
    <x v="0"/>
    <x v="1"/>
    <x v="3"/>
  </r>
  <r>
    <n v="39"/>
    <x v="1"/>
    <n v="2"/>
    <n v="138"/>
    <n v="220"/>
    <n v="0"/>
    <n v="1"/>
    <n v="152"/>
    <n v="0"/>
    <n v="0"/>
    <n v="1"/>
    <n v="0"/>
    <n v="2"/>
    <n v="1"/>
    <x v="1"/>
    <x v="1"/>
    <x v="2"/>
    <s v="Normal"/>
    <x v="0"/>
    <x v="2"/>
    <x v="2"/>
  </r>
  <r>
    <n v="43"/>
    <x v="0"/>
    <n v="0"/>
    <n v="150"/>
    <n v="247"/>
    <n v="0"/>
    <n v="1"/>
    <n v="171"/>
    <n v="0"/>
    <n v="1.5"/>
    <n v="2"/>
    <n v="0"/>
    <n v="2"/>
    <n v="1"/>
    <x v="0"/>
    <x v="1"/>
    <x v="0"/>
    <s v="Normal"/>
    <x v="0"/>
    <x v="3"/>
    <x v="1"/>
  </r>
  <r>
    <n v="51"/>
    <x v="0"/>
    <n v="0"/>
    <n v="140"/>
    <n v="261"/>
    <n v="0"/>
    <n v="0"/>
    <n v="186"/>
    <n v="1"/>
    <n v="0"/>
    <n v="2"/>
    <n v="0"/>
    <n v="2"/>
    <n v="1"/>
    <x v="0"/>
    <x v="1"/>
    <x v="0"/>
    <s v="Normal"/>
    <x v="1"/>
    <x v="2"/>
    <x v="1"/>
  </r>
  <r>
    <n v="69"/>
    <x v="0"/>
    <n v="2"/>
    <n v="140"/>
    <n v="254"/>
    <n v="0"/>
    <n v="0"/>
    <n v="146"/>
    <n v="0"/>
    <n v="2"/>
    <n v="1"/>
    <n v="3"/>
    <n v="3"/>
    <n v="0"/>
    <x v="0"/>
    <x v="0"/>
    <x v="2"/>
    <s v="Normal"/>
    <x v="0"/>
    <x v="0"/>
    <x v="1"/>
  </r>
  <r>
    <n v="48"/>
    <x v="0"/>
    <n v="2"/>
    <n v="124"/>
    <n v="255"/>
    <n v="1"/>
    <n v="1"/>
    <n v="175"/>
    <n v="0"/>
    <n v="0"/>
    <n v="2"/>
    <n v="2"/>
    <n v="2"/>
    <n v="1"/>
    <x v="0"/>
    <x v="1"/>
    <x v="2"/>
    <s v="High"/>
    <x v="0"/>
    <x v="1"/>
    <x v="0"/>
  </r>
  <r>
    <n v="52"/>
    <x v="0"/>
    <n v="3"/>
    <n v="118"/>
    <n v="186"/>
    <n v="0"/>
    <n v="0"/>
    <n v="190"/>
    <n v="0"/>
    <n v="0"/>
    <n v="1"/>
    <n v="0"/>
    <n v="1"/>
    <n v="1"/>
    <x v="0"/>
    <x v="1"/>
    <x v="3"/>
    <s v="Normal"/>
    <x v="0"/>
    <x v="2"/>
    <x v="3"/>
  </r>
  <r>
    <n v="43"/>
    <x v="0"/>
    <n v="0"/>
    <n v="110"/>
    <n v="211"/>
    <n v="0"/>
    <n v="1"/>
    <n v="161"/>
    <n v="0"/>
    <n v="0"/>
    <n v="2"/>
    <n v="0"/>
    <n v="3"/>
    <n v="1"/>
    <x v="0"/>
    <x v="1"/>
    <x v="0"/>
    <s v="Normal"/>
    <x v="0"/>
    <x v="0"/>
    <x v="3"/>
  </r>
  <r>
    <n v="67"/>
    <x v="1"/>
    <n v="2"/>
    <n v="115"/>
    <n v="564"/>
    <n v="0"/>
    <n v="0"/>
    <n v="160"/>
    <n v="0"/>
    <n v="1.6"/>
    <n v="1"/>
    <n v="0"/>
    <n v="3"/>
    <n v="1"/>
    <x v="1"/>
    <x v="1"/>
    <x v="2"/>
    <s v="Normal"/>
    <x v="0"/>
    <x v="2"/>
    <x v="3"/>
  </r>
  <r>
    <n v="38"/>
    <x v="0"/>
    <n v="2"/>
    <n v="138"/>
    <n v="175"/>
    <n v="0"/>
    <n v="1"/>
    <n v="173"/>
    <n v="0"/>
    <n v="0"/>
    <n v="2"/>
    <n v="4"/>
    <n v="2"/>
    <n v="1"/>
    <x v="0"/>
    <x v="1"/>
    <x v="2"/>
    <s v="Normal"/>
    <x v="0"/>
    <x v="1"/>
    <x v="2"/>
  </r>
  <r>
    <n v="44"/>
    <x v="0"/>
    <n v="1"/>
    <n v="130"/>
    <n v="219"/>
    <n v="0"/>
    <n v="0"/>
    <n v="188"/>
    <n v="0"/>
    <n v="0"/>
    <n v="2"/>
    <n v="0"/>
    <n v="2"/>
    <n v="1"/>
    <x v="0"/>
    <x v="1"/>
    <x v="1"/>
    <s v="Normal"/>
    <x v="0"/>
    <x v="3"/>
    <x v="2"/>
  </r>
  <r>
    <n v="47"/>
    <x v="0"/>
    <n v="0"/>
    <n v="110"/>
    <n v="275"/>
    <n v="0"/>
    <n v="0"/>
    <n v="118"/>
    <n v="1"/>
    <n v="1"/>
    <n v="1"/>
    <n v="1"/>
    <n v="2"/>
    <n v="0"/>
    <x v="0"/>
    <x v="0"/>
    <x v="0"/>
    <s v="Normal"/>
    <x v="1"/>
    <x v="2"/>
    <x v="3"/>
  </r>
  <r>
    <n v="61"/>
    <x v="0"/>
    <n v="2"/>
    <n v="150"/>
    <n v="243"/>
    <n v="1"/>
    <n v="1"/>
    <n v="137"/>
    <n v="1"/>
    <n v="1"/>
    <n v="1"/>
    <n v="0"/>
    <n v="2"/>
    <n v="1"/>
    <x v="0"/>
    <x v="1"/>
    <x v="2"/>
    <s v="High"/>
    <x v="1"/>
    <x v="2"/>
    <x v="1"/>
  </r>
  <r>
    <n v="67"/>
    <x v="0"/>
    <n v="0"/>
    <n v="160"/>
    <n v="286"/>
    <n v="0"/>
    <n v="0"/>
    <n v="108"/>
    <n v="1"/>
    <n v="1.5"/>
    <n v="1"/>
    <n v="3"/>
    <n v="2"/>
    <n v="0"/>
    <x v="0"/>
    <x v="0"/>
    <x v="0"/>
    <s v="Normal"/>
    <x v="1"/>
    <x v="1"/>
    <x v="1"/>
  </r>
  <r>
    <n v="60"/>
    <x v="1"/>
    <n v="3"/>
    <n v="150"/>
    <n v="240"/>
    <n v="0"/>
    <n v="1"/>
    <n v="171"/>
    <n v="0"/>
    <n v="0.9"/>
    <n v="2"/>
    <n v="0"/>
    <n v="2"/>
    <n v="1"/>
    <x v="1"/>
    <x v="1"/>
    <x v="3"/>
    <s v="Normal"/>
    <x v="0"/>
    <x v="1"/>
    <x v="1"/>
  </r>
  <r>
    <n v="64"/>
    <x v="1"/>
    <n v="2"/>
    <n v="140"/>
    <n v="313"/>
    <n v="0"/>
    <n v="1"/>
    <n v="133"/>
    <n v="0"/>
    <n v="0.2"/>
    <n v="2"/>
    <n v="0"/>
    <n v="3"/>
    <n v="1"/>
    <x v="1"/>
    <x v="1"/>
    <x v="2"/>
    <s v="Normal"/>
    <x v="0"/>
    <x v="1"/>
    <x v="1"/>
  </r>
  <r>
    <n v="58"/>
    <x v="1"/>
    <n v="0"/>
    <n v="130"/>
    <n v="197"/>
    <n v="0"/>
    <n v="1"/>
    <n v="131"/>
    <n v="0"/>
    <n v="0.6"/>
    <n v="1"/>
    <n v="0"/>
    <n v="2"/>
    <n v="1"/>
    <x v="1"/>
    <x v="1"/>
    <x v="0"/>
    <s v="Normal"/>
    <x v="0"/>
    <x v="1"/>
    <x v="2"/>
  </r>
  <r>
    <n v="41"/>
    <x v="0"/>
    <n v="2"/>
    <n v="130"/>
    <n v="214"/>
    <n v="0"/>
    <n v="0"/>
    <n v="168"/>
    <n v="0"/>
    <n v="2"/>
    <n v="1"/>
    <n v="0"/>
    <n v="2"/>
    <n v="1"/>
    <x v="0"/>
    <x v="1"/>
    <x v="2"/>
    <s v="Normal"/>
    <x v="0"/>
    <x v="0"/>
    <x v="2"/>
  </r>
  <r>
    <n v="48"/>
    <x v="0"/>
    <n v="1"/>
    <n v="110"/>
    <n v="229"/>
    <n v="0"/>
    <n v="1"/>
    <n v="168"/>
    <n v="0"/>
    <n v="1"/>
    <n v="0"/>
    <n v="0"/>
    <n v="3"/>
    <n v="0"/>
    <x v="0"/>
    <x v="0"/>
    <x v="1"/>
    <s v="Normal"/>
    <x v="0"/>
    <x v="2"/>
    <x v="3"/>
  </r>
  <r>
    <n v="57"/>
    <x v="0"/>
    <n v="2"/>
    <n v="150"/>
    <n v="126"/>
    <n v="1"/>
    <n v="1"/>
    <n v="173"/>
    <n v="0"/>
    <n v="0.2"/>
    <n v="2"/>
    <n v="1"/>
    <n v="3"/>
    <n v="1"/>
    <x v="0"/>
    <x v="1"/>
    <x v="2"/>
    <s v="High"/>
    <x v="0"/>
    <x v="2"/>
    <x v="1"/>
  </r>
  <r>
    <n v="57"/>
    <x v="0"/>
    <n v="0"/>
    <n v="165"/>
    <n v="289"/>
    <n v="1"/>
    <n v="0"/>
    <n v="124"/>
    <n v="0"/>
    <n v="1"/>
    <n v="1"/>
    <n v="3"/>
    <n v="3"/>
    <n v="0"/>
    <x v="0"/>
    <x v="0"/>
    <x v="0"/>
    <s v="High"/>
    <x v="0"/>
    <x v="0"/>
    <x v="1"/>
  </r>
  <r>
    <n v="57"/>
    <x v="0"/>
    <n v="2"/>
    <n v="128"/>
    <n v="229"/>
    <n v="0"/>
    <n v="0"/>
    <n v="150"/>
    <n v="0"/>
    <n v="0.4"/>
    <n v="1"/>
    <n v="1"/>
    <n v="3"/>
    <n v="0"/>
    <x v="0"/>
    <x v="0"/>
    <x v="2"/>
    <s v="Normal"/>
    <x v="0"/>
    <x v="0"/>
    <x v="0"/>
  </r>
  <r>
    <n v="39"/>
    <x v="0"/>
    <n v="2"/>
    <n v="140"/>
    <n v="321"/>
    <n v="0"/>
    <n v="0"/>
    <n v="182"/>
    <n v="0"/>
    <n v="0"/>
    <n v="2"/>
    <n v="0"/>
    <n v="2"/>
    <n v="1"/>
    <x v="0"/>
    <x v="1"/>
    <x v="2"/>
    <s v="Normal"/>
    <x v="0"/>
    <x v="0"/>
    <x v="1"/>
  </r>
  <r>
    <n v="58"/>
    <x v="0"/>
    <n v="0"/>
    <n v="128"/>
    <n v="216"/>
    <n v="0"/>
    <n v="0"/>
    <n v="131"/>
    <n v="1"/>
    <n v="2.2000000000000002"/>
    <n v="1"/>
    <n v="3"/>
    <n v="3"/>
    <n v="0"/>
    <x v="0"/>
    <x v="0"/>
    <x v="0"/>
    <s v="Normal"/>
    <x v="1"/>
    <x v="3"/>
    <x v="0"/>
  </r>
  <r>
    <n v="51"/>
    <x v="1"/>
    <n v="0"/>
    <n v="130"/>
    <n v="305"/>
    <n v="0"/>
    <n v="1"/>
    <n v="142"/>
    <n v="1"/>
    <n v="1.2"/>
    <n v="1"/>
    <n v="0"/>
    <n v="3"/>
    <n v="0"/>
    <x v="1"/>
    <x v="0"/>
    <x v="0"/>
    <s v="Normal"/>
    <x v="1"/>
    <x v="0"/>
    <x v="2"/>
  </r>
  <r>
    <n v="63"/>
    <x v="1"/>
    <n v="0"/>
    <n v="150"/>
    <n v="407"/>
    <n v="0"/>
    <n v="0"/>
    <n v="154"/>
    <n v="0"/>
    <n v="4"/>
    <n v="1"/>
    <n v="3"/>
    <n v="3"/>
    <n v="0"/>
    <x v="1"/>
    <x v="0"/>
    <x v="0"/>
    <s v="Normal"/>
    <x v="0"/>
    <x v="0"/>
    <x v="1"/>
  </r>
  <r>
    <n v="51"/>
    <x v="0"/>
    <n v="0"/>
    <n v="140"/>
    <n v="298"/>
    <n v="0"/>
    <n v="1"/>
    <n v="122"/>
    <n v="1"/>
    <n v="4.2"/>
    <n v="1"/>
    <n v="3"/>
    <n v="3"/>
    <n v="0"/>
    <x v="0"/>
    <x v="0"/>
    <x v="0"/>
    <s v="Normal"/>
    <x v="1"/>
    <x v="1"/>
    <x v="1"/>
  </r>
  <r>
    <n v="35"/>
    <x v="0"/>
    <n v="1"/>
    <n v="122"/>
    <n v="192"/>
    <n v="0"/>
    <n v="1"/>
    <n v="174"/>
    <n v="0"/>
    <n v="0"/>
    <n v="2"/>
    <n v="0"/>
    <n v="2"/>
    <n v="1"/>
    <x v="0"/>
    <x v="1"/>
    <x v="1"/>
    <s v="Normal"/>
    <x v="0"/>
    <x v="0"/>
    <x v="0"/>
  </r>
  <r>
    <n v="65"/>
    <x v="0"/>
    <n v="0"/>
    <n v="110"/>
    <n v="248"/>
    <n v="0"/>
    <n v="0"/>
    <n v="158"/>
    <n v="0"/>
    <n v="0.6"/>
    <n v="2"/>
    <n v="2"/>
    <n v="1"/>
    <n v="0"/>
    <x v="0"/>
    <x v="0"/>
    <x v="0"/>
    <s v="Normal"/>
    <x v="0"/>
    <x v="3"/>
    <x v="3"/>
  </r>
  <r>
    <n v="62"/>
    <x v="0"/>
    <n v="1"/>
    <n v="120"/>
    <n v="281"/>
    <n v="0"/>
    <n v="0"/>
    <n v="103"/>
    <n v="0"/>
    <n v="1.4"/>
    <n v="1"/>
    <n v="1"/>
    <n v="3"/>
    <n v="0"/>
    <x v="0"/>
    <x v="0"/>
    <x v="1"/>
    <s v="Normal"/>
    <x v="0"/>
    <x v="1"/>
    <x v="0"/>
  </r>
  <r>
    <n v="41"/>
    <x v="0"/>
    <n v="0"/>
    <n v="110"/>
    <n v="172"/>
    <n v="0"/>
    <n v="0"/>
    <n v="158"/>
    <n v="0"/>
    <n v="0"/>
    <n v="2"/>
    <n v="0"/>
    <n v="3"/>
    <n v="0"/>
    <x v="0"/>
    <x v="0"/>
    <x v="0"/>
    <s v="Normal"/>
    <x v="0"/>
    <x v="1"/>
    <x v="3"/>
  </r>
  <r>
    <n v="65"/>
    <x v="0"/>
    <n v="0"/>
    <n v="135"/>
    <n v="254"/>
    <n v="0"/>
    <n v="0"/>
    <n v="127"/>
    <n v="0"/>
    <n v="2.8"/>
    <n v="1"/>
    <n v="1"/>
    <n v="3"/>
    <n v="0"/>
    <x v="0"/>
    <x v="0"/>
    <x v="0"/>
    <s v="Normal"/>
    <x v="0"/>
    <x v="2"/>
    <x v="2"/>
  </r>
  <r>
    <n v="54"/>
    <x v="1"/>
    <n v="1"/>
    <n v="132"/>
    <n v="288"/>
    <n v="1"/>
    <n v="0"/>
    <n v="159"/>
    <n v="1"/>
    <n v="0"/>
    <n v="2"/>
    <n v="1"/>
    <n v="2"/>
    <n v="1"/>
    <x v="1"/>
    <x v="1"/>
    <x v="1"/>
    <s v="High"/>
    <x v="1"/>
    <x v="1"/>
    <x v="2"/>
  </r>
  <r>
    <n v="61"/>
    <x v="0"/>
    <n v="2"/>
    <n v="150"/>
    <n v="243"/>
    <n v="1"/>
    <n v="1"/>
    <n v="137"/>
    <n v="1"/>
    <n v="1"/>
    <n v="1"/>
    <n v="0"/>
    <n v="2"/>
    <n v="1"/>
    <x v="0"/>
    <x v="1"/>
    <x v="2"/>
    <s v="High"/>
    <x v="1"/>
    <x v="0"/>
    <x v="1"/>
  </r>
  <r>
    <n v="57"/>
    <x v="1"/>
    <n v="0"/>
    <n v="128"/>
    <n v="303"/>
    <n v="0"/>
    <n v="0"/>
    <n v="159"/>
    <n v="0"/>
    <n v="0"/>
    <n v="2"/>
    <n v="1"/>
    <n v="2"/>
    <n v="1"/>
    <x v="1"/>
    <x v="1"/>
    <x v="0"/>
    <s v="Normal"/>
    <x v="0"/>
    <x v="1"/>
    <x v="0"/>
  </r>
  <r>
    <n v="57"/>
    <x v="0"/>
    <n v="2"/>
    <n v="150"/>
    <n v="168"/>
    <n v="0"/>
    <n v="1"/>
    <n v="174"/>
    <n v="0"/>
    <n v="1.6"/>
    <n v="2"/>
    <n v="0"/>
    <n v="2"/>
    <n v="1"/>
    <x v="0"/>
    <x v="1"/>
    <x v="2"/>
    <s v="Normal"/>
    <x v="0"/>
    <x v="0"/>
    <x v="1"/>
  </r>
  <r>
    <n v="64"/>
    <x v="0"/>
    <n v="2"/>
    <n v="125"/>
    <n v="309"/>
    <n v="0"/>
    <n v="1"/>
    <n v="131"/>
    <n v="1"/>
    <n v="1.8"/>
    <n v="1"/>
    <n v="0"/>
    <n v="3"/>
    <n v="0"/>
    <x v="0"/>
    <x v="0"/>
    <x v="2"/>
    <s v="Normal"/>
    <x v="1"/>
    <x v="0"/>
    <x v="0"/>
  </r>
  <r>
    <n v="55"/>
    <x v="0"/>
    <n v="0"/>
    <n v="132"/>
    <n v="353"/>
    <n v="0"/>
    <n v="1"/>
    <n v="132"/>
    <n v="1"/>
    <n v="1.2"/>
    <n v="1"/>
    <n v="1"/>
    <n v="3"/>
    <n v="0"/>
    <x v="0"/>
    <x v="0"/>
    <x v="0"/>
    <s v="Normal"/>
    <x v="1"/>
    <x v="1"/>
    <x v="2"/>
  </r>
  <r>
    <n v="51"/>
    <x v="0"/>
    <n v="2"/>
    <n v="125"/>
    <n v="245"/>
    <n v="1"/>
    <n v="0"/>
    <n v="166"/>
    <n v="0"/>
    <n v="2.4"/>
    <n v="1"/>
    <n v="0"/>
    <n v="2"/>
    <n v="1"/>
    <x v="0"/>
    <x v="1"/>
    <x v="2"/>
    <s v="High"/>
    <x v="0"/>
    <x v="0"/>
    <x v="0"/>
  </r>
  <r>
    <n v="59"/>
    <x v="0"/>
    <n v="0"/>
    <n v="135"/>
    <n v="234"/>
    <n v="0"/>
    <n v="1"/>
    <n v="161"/>
    <n v="0"/>
    <n v="0.5"/>
    <n v="1"/>
    <n v="0"/>
    <n v="3"/>
    <n v="1"/>
    <x v="0"/>
    <x v="1"/>
    <x v="0"/>
    <s v="Normal"/>
    <x v="0"/>
    <x v="0"/>
    <x v="2"/>
  </r>
  <r>
    <n v="68"/>
    <x v="0"/>
    <n v="2"/>
    <n v="180"/>
    <n v="274"/>
    <n v="1"/>
    <n v="0"/>
    <n v="150"/>
    <n v="1"/>
    <n v="1.6"/>
    <n v="1"/>
    <n v="0"/>
    <n v="3"/>
    <n v="0"/>
    <x v="0"/>
    <x v="0"/>
    <x v="2"/>
    <s v="High"/>
    <x v="1"/>
    <x v="0"/>
    <x v="1"/>
  </r>
  <r>
    <n v="57"/>
    <x v="0"/>
    <n v="1"/>
    <n v="154"/>
    <n v="232"/>
    <n v="0"/>
    <n v="0"/>
    <n v="164"/>
    <n v="0"/>
    <n v="0"/>
    <n v="2"/>
    <n v="1"/>
    <n v="2"/>
    <n v="0"/>
    <x v="0"/>
    <x v="0"/>
    <x v="1"/>
    <s v="Normal"/>
    <x v="0"/>
    <x v="1"/>
    <x v="1"/>
  </r>
  <r>
    <n v="54"/>
    <x v="0"/>
    <n v="0"/>
    <n v="140"/>
    <n v="239"/>
    <n v="0"/>
    <n v="1"/>
    <n v="160"/>
    <n v="0"/>
    <n v="1.2"/>
    <n v="2"/>
    <n v="0"/>
    <n v="2"/>
    <n v="1"/>
    <x v="0"/>
    <x v="1"/>
    <x v="0"/>
    <s v="Normal"/>
    <x v="0"/>
    <x v="0"/>
    <x v="1"/>
  </r>
  <r>
    <n v="46"/>
    <x v="1"/>
    <n v="2"/>
    <n v="142"/>
    <n v="177"/>
    <n v="0"/>
    <n v="0"/>
    <n v="160"/>
    <n v="1"/>
    <n v="1.4"/>
    <n v="0"/>
    <n v="0"/>
    <n v="2"/>
    <n v="1"/>
    <x v="1"/>
    <x v="1"/>
    <x v="2"/>
    <s v="Normal"/>
    <x v="1"/>
    <x v="0"/>
    <x v="1"/>
  </r>
  <r>
    <n v="71"/>
    <x v="1"/>
    <n v="0"/>
    <n v="112"/>
    <n v="149"/>
    <n v="0"/>
    <n v="1"/>
    <n v="125"/>
    <n v="0"/>
    <n v="1.6"/>
    <n v="1"/>
    <n v="0"/>
    <n v="2"/>
    <n v="1"/>
    <x v="1"/>
    <x v="1"/>
    <x v="0"/>
    <s v="Normal"/>
    <x v="0"/>
    <x v="2"/>
    <x v="3"/>
  </r>
  <r>
    <n v="35"/>
    <x v="1"/>
    <n v="0"/>
    <n v="138"/>
    <n v="183"/>
    <n v="0"/>
    <n v="1"/>
    <n v="182"/>
    <n v="0"/>
    <n v="1.4"/>
    <n v="2"/>
    <n v="0"/>
    <n v="2"/>
    <n v="1"/>
    <x v="1"/>
    <x v="1"/>
    <x v="0"/>
    <s v="Normal"/>
    <x v="0"/>
    <x v="1"/>
    <x v="2"/>
  </r>
  <r>
    <n v="46"/>
    <x v="1"/>
    <n v="2"/>
    <n v="142"/>
    <n v="177"/>
    <n v="0"/>
    <n v="0"/>
    <n v="160"/>
    <n v="1"/>
    <n v="1.4"/>
    <n v="0"/>
    <n v="0"/>
    <n v="2"/>
    <n v="1"/>
    <x v="1"/>
    <x v="1"/>
    <x v="2"/>
    <s v="Normal"/>
    <x v="1"/>
    <x v="3"/>
    <x v="1"/>
  </r>
  <r>
    <n v="45"/>
    <x v="1"/>
    <n v="1"/>
    <n v="130"/>
    <n v="234"/>
    <n v="0"/>
    <n v="0"/>
    <n v="175"/>
    <n v="0"/>
    <n v="0.6"/>
    <n v="1"/>
    <n v="0"/>
    <n v="2"/>
    <n v="1"/>
    <x v="1"/>
    <x v="1"/>
    <x v="1"/>
    <s v="Normal"/>
    <x v="0"/>
    <x v="2"/>
    <x v="2"/>
  </r>
  <r>
    <n v="47"/>
    <x v="0"/>
    <n v="2"/>
    <n v="108"/>
    <n v="243"/>
    <n v="0"/>
    <n v="1"/>
    <n v="152"/>
    <n v="0"/>
    <n v="0"/>
    <n v="2"/>
    <n v="0"/>
    <n v="2"/>
    <n v="0"/>
    <x v="0"/>
    <x v="0"/>
    <x v="2"/>
    <s v="Normal"/>
    <x v="0"/>
    <x v="2"/>
    <x v="3"/>
  </r>
  <r>
    <n v="44"/>
    <x v="1"/>
    <n v="2"/>
    <n v="118"/>
    <n v="242"/>
    <n v="0"/>
    <n v="1"/>
    <n v="149"/>
    <n v="0"/>
    <n v="0.3"/>
    <n v="1"/>
    <n v="1"/>
    <n v="2"/>
    <n v="1"/>
    <x v="1"/>
    <x v="1"/>
    <x v="2"/>
    <s v="Normal"/>
    <x v="0"/>
    <x v="2"/>
    <x v="3"/>
  </r>
  <r>
    <n v="61"/>
    <x v="0"/>
    <n v="0"/>
    <n v="120"/>
    <n v="260"/>
    <n v="0"/>
    <n v="1"/>
    <n v="140"/>
    <n v="1"/>
    <n v="3.6"/>
    <n v="1"/>
    <n v="1"/>
    <n v="3"/>
    <n v="0"/>
    <x v="0"/>
    <x v="0"/>
    <x v="0"/>
    <s v="Normal"/>
    <x v="1"/>
    <x v="2"/>
    <x v="0"/>
  </r>
  <r>
    <n v="41"/>
    <x v="1"/>
    <n v="1"/>
    <n v="130"/>
    <n v="204"/>
    <n v="0"/>
    <n v="0"/>
    <n v="172"/>
    <n v="0"/>
    <n v="1.4"/>
    <n v="2"/>
    <n v="0"/>
    <n v="2"/>
    <n v="1"/>
    <x v="1"/>
    <x v="1"/>
    <x v="1"/>
    <s v="Normal"/>
    <x v="0"/>
    <x v="1"/>
    <x v="2"/>
  </r>
  <r>
    <n v="56"/>
    <x v="1"/>
    <n v="0"/>
    <n v="200"/>
    <n v="288"/>
    <n v="1"/>
    <n v="0"/>
    <n v="133"/>
    <n v="1"/>
    <n v="4"/>
    <n v="0"/>
    <n v="2"/>
    <n v="3"/>
    <n v="0"/>
    <x v="1"/>
    <x v="0"/>
    <x v="0"/>
    <s v="High"/>
    <x v="1"/>
    <x v="2"/>
    <x v="1"/>
  </r>
  <r>
    <n v="55"/>
    <x v="1"/>
    <n v="0"/>
    <n v="180"/>
    <n v="327"/>
    <n v="0"/>
    <n v="2"/>
    <n v="117"/>
    <n v="1"/>
    <n v="3.4"/>
    <n v="1"/>
    <n v="0"/>
    <n v="2"/>
    <n v="0"/>
    <x v="1"/>
    <x v="0"/>
    <x v="0"/>
    <s v="Normal"/>
    <x v="1"/>
    <x v="0"/>
    <x v="1"/>
  </r>
  <r>
    <n v="54"/>
    <x v="1"/>
    <n v="1"/>
    <n v="132"/>
    <n v="288"/>
    <n v="1"/>
    <n v="0"/>
    <n v="159"/>
    <n v="1"/>
    <n v="0"/>
    <n v="2"/>
    <n v="1"/>
    <n v="2"/>
    <n v="1"/>
    <x v="1"/>
    <x v="1"/>
    <x v="1"/>
    <s v="High"/>
    <x v="1"/>
    <x v="0"/>
    <x v="2"/>
  </r>
  <r>
    <n v="43"/>
    <x v="0"/>
    <n v="0"/>
    <n v="120"/>
    <n v="177"/>
    <n v="0"/>
    <n v="0"/>
    <n v="120"/>
    <n v="1"/>
    <n v="2.5"/>
    <n v="1"/>
    <n v="0"/>
    <n v="3"/>
    <n v="0"/>
    <x v="0"/>
    <x v="0"/>
    <x v="0"/>
    <s v="Normal"/>
    <x v="1"/>
    <x v="0"/>
    <x v="0"/>
  </r>
  <r>
    <n v="44"/>
    <x v="0"/>
    <n v="0"/>
    <n v="112"/>
    <n v="290"/>
    <n v="0"/>
    <n v="0"/>
    <n v="153"/>
    <n v="0"/>
    <n v="0"/>
    <n v="2"/>
    <n v="1"/>
    <n v="2"/>
    <n v="0"/>
    <x v="0"/>
    <x v="0"/>
    <x v="0"/>
    <s v="Normal"/>
    <x v="0"/>
    <x v="2"/>
    <x v="3"/>
  </r>
  <r>
    <n v="54"/>
    <x v="0"/>
    <n v="0"/>
    <n v="110"/>
    <n v="206"/>
    <n v="0"/>
    <n v="0"/>
    <n v="108"/>
    <n v="1"/>
    <n v="0"/>
    <n v="1"/>
    <n v="1"/>
    <n v="2"/>
    <n v="0"/>
    <x v="0"/>
    <x v="0"/>
    <x v="0"/>
    <s v="Normal"/>
    <x v="1"/>
    <x v="2"/>
    <x v="3"/>
  </r>
  <r>
    <n v="44"/>
    <x v="0"/>
    <n v="1"/>
    <n v="120"/>
    <n v="220"/>
    <n v="0"/>
    <n v="1"/>
    <n v="170"/>
    <n v="0"/>
    <n v="0"/>
    <n v="2"/>
    <n v="0"/>
    <n v="2"/>
    <n v="1"/>
    <x v="0"/>
    <x v="1"/>
    <x v="1"/>
    <s v="Normal"/>
    <x v="0"/>
    <x v="0"/>
    <x v="0"/>
  </r>
  <r>
    <n v="49"/>
    <x v="0"/>
    <n v="2"/>
    <n v="120"/>
    <n v="188"/>
    <n v="0"/>
    <n v="1"/>
    <n v="139"/>
    <n v="0"/>
    <n v="2"/>
    <n v="1"/>
    <n v="3"/>
    <n v="3"/>
    <n v="0"/>
    <x v="0"/>
    <x v="0"/>
    <x v="2"/>
    <s v="Normal"/>
    <x v="0"/>
    <x v="2"/>
    <x v="0"/>
  </r>
  <r>
    <n v="60"/>
    <x v="0"/>
    <n v="0"/>
    <n v="130"/>
    <n v="206"/>
    <n v="0"/>
    <n v="0"/>
    <n v="132"/>
    <n v="1"/>
    <n v="2.4"/>
    <n v="1"/>
    <n v="2"/>
    <n v="3"/>
    <n v="0"/>
    <x v="0"/>
    <x v="0"/>
    <x v="0"/>
    <s v="Normal"/>
    <x v="1"/>
    <x v="2"/>
    <x v="2"/>
  </r>
  <r>
    <n v="41"/>
    <x v="1"/>
    <n v="1"/>
    <n v="105"/>
    <n v="198"/>
    <n v="0"/>
    <n v="1"/>
    <n v="168"/>
    <n v="0"/>
    <n v="0"/>
    <n v="2"/>
    <n v="1"/>
    <n v="2"/>
    <n v="1"/>
    <x v="1"/>
    <x v="1"/>
    <x v="1"/>
    <s v="Normal"/>
    <x v="0"/>
    <x v="1"/>
    <x v="3"/>
  </r>
  <r>
    <n v="49"/>
    <x v="0"/>
    <n v="2"/>
    <n v="120"/>
    <n v="188"/>
    <n v="0"/>
    <n v="1"/>
    <n v="139"/>
    <n v="0"/>
    <n v="2"/>
    <n v="1"/>
    <n v="3"/>
    <n v="3"/>
    <n v="0"/>
    <x v="0"/>
    <x v="0"/>
    <x v="2"/>
    <s v="Normal"/>
    <x v="0"/>
    <x v="2"/>
    <x v="0"/>
  </r>
  <r>
    <n v="61"/>
    <x v="0"/>
    <n v="0"/>
    <n v="148"/>
    <n v="203"/>
    <n v="0"/>
    <n v="1"/>
    <n v="161"/>
    <n v="0"/>
    <n v="0"/>
    <n v="2"/>
    <n v="1"/>
    <n v="3"/>
    <n v="0"/>
    <x v="0"/>
    <x v="0"/>
    <x v="0"/>
    <s v="Normal"/>
    <x v="0"/>
    <x v="2"/>
    <x v="1"/>
  </r>
  <r>
    <n v="59"/>
    <x v="0"/>
    <n v="0"/>
    <n v="140"/>
    <n v="177"/>
    <n v="0"/>
    <n v="1"/>
    <n v="162"/>
    <n v="1"/>
    <n v="0"/>
    <n v="2"/>
    <n v="1"/>
    <n v="3"/>
    <n v="0"/>
    <x v="0"/>
    <x v="0"/>
    <x v="0"/>
    <s v="Normal"/>
    <x v="1"/>
    <x v="1"/>
    <x v="1"/>
  </r>
  <r>
    <n v="58"/>
    <x v="0"/>
    <n v="1"/>
    <n v="125"/>
    <n v="220"/>
    <n v="0"/>
    <n v="1"/>
    <n v="144"/>
    <n v="0"/>
    <n v="0.4"/>
    <n v="1"/>
    <n v="4"/>
    <n v="3"/>
    <n v="1"/>
    <x v="0"/>
    <x v="1"/>
    <x v="1"/>
    <s v="Normal"/>
    <x v="0"/>
    <x v="0"/>
    <x v="0"/>
  </r>
  <r>
    <n v="67"/>
    <x v="1"/>
    <n v="2"/>
    <n v="152"/>
    <n v="277"/>
    <n v="0"/>
    <n v="1"/>
    <n v="172"/>
    <n v="0"/>
    <n v="0"/>
    <n v="2"/>
    <n v="1"/>
    <n v="2"/>
    <n v="1"/>
    <x v="1"/>
    <x v="1"/>
    <x v="2"/>
    <s v="Normal"/>
    <x v="0"/>
    <x v="0"/>
    <x v="1"/>
  </r>
  <r>
    <n v="61"/>
    <x v="0"/>
    <n v="0"/>
    <n v="148"/>
    <n v="203"/>
    <n v="0"/>
    <n v="1"/>
    <n v="161"/>
    <n v="0"/>
    <n v="0"/>
    <n v="2"/>
    <n v="1"/>
    <n v="3"/>
    <n v="0"/>
    <x v="0"/>
    <x v="0"/>
    <x v="0"/>
    <s v="Normal"/>
    <x v="0"/>
    <x v="1"/>
    <x v="1"/>
  </r>
  <r>
    <n v="58"/>
    <x v="0"/>
    <n v="2"/>
    <n v="112"/>
    <n v="230"/>
    <n v="0"/>
    <n v="0"/>
    <n v="165"/>
    <n v="0"/>
    <n v="2.5"/>
    <n v="1"/>
    <n v="1"/>
    <n v="3"/>
    <n v="0"/>
    <x v="0"/>
    <x v="0"/>
    <x v="2"/>
    <s v="Normal"/>
    <x v="0"/>
    <x v="1"/>
    <x v="3"/>
  </r>
  <r>
    <n v="51"/>
    <x v="1"/>
    <n v="2"/>
    <n v="130"/>
    <n v="256"/>
    <n v="0"/>
    <n v="0"/>
    <n v="149"/>
    <n v="0"/>
    <n v="0.5"/>
    <n v="2"/>
    <n v="0"/>
    <n v="2"/>
    <n v="1"/>
    <x v="1"/>
    <x v="1"/>
    <x v="2"/>
    <s v="Normal"/>
    <x v="0"/>
    <x v="0"/>
    <x v="2"/>
  </r>
  <r>
    <n v="62"/>
    <x v="1"/>
    <n v="0"/>
    <n v="160"/>
    <n v="164"/>
    <n v="0"/>
    <n v="0"/>
    <n v="145"/>
    <n v="0"/>
    <n v="6.2"/>
    <n v="0"/>
    <n v="3"/>
    <n v="3"/>
    <n v="0"/>
    <x v="1"/>
    <x v="0"/>
    <x v="0"/>
    <s v="Normal"/>
    <x v="0"/>
    <x v="0"/>
    <x v="1"/>
  </r>
  <r>
    <n v="62"/>
    <x v="1"/>
    <n v="0"/>
    <n v="124"/>
    <n v="209"/>
    <n v="0"/>
    <n v="1"/>
    <n v="163"/>
    <n v="0"/>
    <n v="0"/>
    <n v="2"/>
    <n v="0"/>
    <n v="2"/>
    <n v="1"/>
    <x v="1"/>
    <x v="1"/>
    <x v="0"/>
    <s v="Normal"/>
    <x v="0"/>
    <x v="1"/>
    <x v="0"/>
  </r>
  <r>
    <n v="59"/>
    <x v="0"/>
    <n v="3"/>
    <n v="178"/>
    <n v="270"/>
    <n v="0"/>
    <n v="0"/>
    <n v="145"/>
    <n v="0"/>
    <n v="4.2"/>
    <n v="0"/>
    <n v="0"/>
    <n v="3"/>
    <n v="1"/>
    <x v="0"/>
    <x v="1"/>
    <x v="3"/>
    <s v="Normal"/>
    <x v="0"/>
    <x v="1"/>
    <x v="1"/>
  </r>
  <r>
    <n v="69"/>
    <x v="0"/>
    <n v="3"/>
    <n v="160"/>
    <n v="234"/>
    <n v="1"/>
    <n v="0"/>
    <n v="131"/>
    <n v="0"/>
    <n v="0.1"/>
    <n v="1"/>
    <n v="1"/>
    <n v="2"/>
    <n v="1"/>
    <x v="0"/>
    <x v="1"/>
    <x v="3"/>
    <s v="High"/>
    <x v="0"/>
    <x v="0"/>
    <x v="1"/>
  </r>
  <r>
    <n v="60"/>
    <x v="1"/>
    <n v="0"/>
    <n v="150"/>
    <n v="258"/>
    <n v="0"/>
    <n v="0"/>
    <n v="157"/>
    <n v="0"/>
    <n v="2.6"/>
    <n v="1"/>
    <n v="2"/>
    <n v="3"/>
    <n v="0"/>
    <x v="1"/>
    <x v="0"/>
    <x v="0"/>
    <s v="Normal"/>
    <x v="0"/>
    <x v="1"/>
    <x v="1"/>
  </r>
  <r>
    <n v="65"/>
    <x v="1"/>
    <n v="2"/>
    <n v="155"/>
    <n v="269"/>
    <n v="0"/>
    <n v="1"/>
    <n v="148"/>
    <n v="0"/>
    <n v="0.8"/>
    <n v="2"/>
    <n v="0"/>
    <n v="2"/>
    <n v="1"/>
    <x v="1"/>
    <x v="1"/>
    <x v="2"/>
    <s v="Normal"/>
    <x v="0"/>
    <x v="1"/>
    <x v="1"/>
  </r>
  <r>
    <n v="63"/>
    <x v="1"/>
    <n v="0"/>
    <n v="124"/>
    <n v="197"/>
    <n v="0"/>
    <n v="1"/>
    <n v="136"/>
    <n v="1"/>
    <n v="0"/>
    <n v="1"/>
    <n v="0"/>
    <n v="2"/>
    <n v="0"/>
    <x v="1"/>
    <x v="0"/>
    <x v="0"/>
    <s v="Normal"/>
    <x v="1"/>
    <x v="1"/>
    <x v="0"/>
  </r>
  <r>
    <n v="53"/>
    <x v="1"/>
    <n v="0"/>
    <n v="138"/>
    <n v="234"/>
    <n v="0"/>
    <n v="0"/>
    <n v="160"/>
    <n v="0"/>
    <n v="0"/>
    <n v="2"/>
    <n v="0"/>
    <n v="2"/>
    <n v="1"/>
    <x v="1"/>
    <x v="1"/>
    <x v="0"/>
    <s v="Normal"/>
    <x v="0"/>
    <x v="1"/>
    <x v="2"/>
  </r>
  <r>
    <n v="54"/>
    <x v="1"/>
    <n v="2"/>
    <n v="108"/>
    <n v="267"/>
    <n v="0"/>
    <n v="0"/>
    <n v="167"/>
    <n v="0"/>
    <n v="0"/>
    <n v="2"/>
    <n v="0"/>
    <n v="2"/>
    <n v="1"/>
    <x v="1"/>
    <x v="1"/>
    <x v="2"/>
    <s v="Normal"/>
    <x v="0"/>
    <x v="0"/>
    <x v="3"/>
  </r>
  <r>
    <n v="76"/>
    <x v="1"/>
    <n v="2"/>
    <n v="140"/>
    <n v="197"/>
    <n v="0"/>
    <n v="2"/>
    <n v="116"/>
    <n v="0"/>
    <n v="1.1000000000000001"/>
    <n v="1"/>
    <n v="0"/>
    <n v="2"/>
    <n v="1"/>
    <x v="1"/>
    <x v="1"/>
    <x v="2"/>
    <s v="Normal"/>
    <x v="0"/>
    <x v="0"/>
    <x v="1"/>
  </r>
  <r>
    <n v="50"/>
    <x v="1"/>
    <n v="2"/>
    <n v="120"/>
    <n v="219"/>
    <n v="0"/>
    <n v="1"/>
    <n v="158"/>
    <n v="0"/>
    <n v="1.6"/>
    <n v="1"/>
    <n v="0"/>
    <n v="2"/>
    <n v="1"/>
    <x v="1"/>
    <x v="1"/>
    <x v="2"/>
    <s v="Normal"/>
    <x v="0"/>
    <x v="1"/>
    <x v="0"/>
  </r>
  <r>
    <n v="52"/>
    <x v="0"/>
    <n v="1"/>
    <n v="120"/>
    <n v="325"/>
    <n v="0"/>
    <n v="1"/>
    <n v="172"/>
    <n v="0"/>
    <n v="0.2"/>
    <n v="2"/>
    <n v="0"/>
    <n v="2"/>
    <n v="1"/>
    <x v="0"/>
    <x v="1"/>
    <x v="1"/>
    <s v="Normal"/>
    <x v="0"/>
    <x v="0"/>
    <x v="0"/>
  </r>
  <r>
    <n v="46"/>
    <x v="0"/>
    <n v="0"/>
    <n v="120"/>
    <n v="249"/>
    <n v="0"/>
    <n v="0"/>
    <n v="144"/>
    <n v="0"/>
    <n v="0.8"/>
    <n v="2"/>
    <n v="0"/>
    <n v="3"/>
    <n v="0"/>
    <x v="0"/>
    <x v="0"/>
    <x v="0"/>
    <s v="Normal"/>
    <x v="0"/>
    <x v="0"/>
    <x v="0"/>
  </r>
  <r>
    <n v="64"/>
    <x v="0"/>
    <n v="3"/>
    <n v="170"/>
    <n v="227"/>
    <n v="0"/>
    <n v="0"/>
    <n v="155"/>
    <n v="0"/>
    <n v="0.6"/>
    <n v="1"/>
    <n v="0"/>
    <n v="3"/>
    <n v="1"/>
    <x v="0"/>
    <x v="1"/>
    <x v="3"/>
    <s v="Normal"/>
    <x v="0"/>
    <x v="2"/>
    <x v="1"/>
  </r>
  <r>
    <n v="58"/>
    <x v="0"/>
    <n v="0"/>
    <n v="128"/>
    <n v="259"/>
    <n v="0"/>
    <n v="0"/>
    <n v="130"/>
    <n v="1"/>
    <n v="3"/>
    <n v="1"/>
    <n v="2"/>
    <n v="3"/>
    <n v="0"/>
    <x v="0"/>
    <x v="0"/>
    <x v="0"/>
    <s v="Normal"/>
    <x v="1"/>
    <x v="1"/>
    <x v="0"/>
  </r>
  <r>
    <n v="44"/>
    <x v="0"/>
    <n v="2"/>
    <n v="140"/>
    <n v="235"/>
    <n v="0"/>
    <n v="0"/>
    <n v="180"/>
    <n v="0"/>
    <n v="0"/>
    <n v="2"/>
    <n v="0"/>
    <n v="2"/>
    <n v="1"/>
    <x v="0"/>
    <x v="1"/>
    <x v="2"/>
    <s v="Normal"/>
    <x v="0"/>
    <x v="0"/>
    <x v="1"/>
  </r>
  <r>
    <n v="62"/>
    <x v="1"/>
    <n v="0"/>
    <n v="140"/>
    <n v="394"/>
    <n v="0"/>
    <n v="0"/>
    <n v="157"/>
    <n v="0"/>
    <n v="1.2"/>
    <n v="1"/>
    <n v="0"/>
    <n v="2"/>
    <n v="1"/>
    <x v="1"/>
    <x v="1"/>
    <x v="0"/>
    <s v="Normal"/>
    <x v="0"/>
    <x v="2"/>
    <x v="1"/>
  </r>
  <r>
    <n v="59"/>
    <x v="0"/>
    <n v="3"/>
    <n v="134"/>
    <n v="204"/>
    <n v="0"/>
    <n v="1"/>
    <n v="162"/>
    <n v="0"/>
    <n v="0.8"/>
    <n v="2"/>
    <n v="2"/>
    <n v="2"/>
    <n v="0"/>
    <x v="0"/>
    <x v="0"/>
    <x v="3"/>
    <s v="Normal"/>
    <x v="0"/>
    <x v="1"/>
    <x v="2"/>
  </r>
  <r>
    <n v="54"/>
    <x v="0"/>
    <n v="2"/>
    <n v="125"/>
    <n v="273"/>
    <n v="0"/>
    <n v="0"/>
    <n v="152"/>
    <n v="0"/>
    <n v="0.5"/>
    <n v="0"/>
    <n v="1"/>
    <n v="2"/>
    <n v="1"/>
    <x v="0"/>
    <x v="1"/>
    <x v="2"/>
    <s v="Normal"/>
    <x v="0"/>
    <x v="0"/>
    <x v="0"/>
  </r>
  <r>
    <n v="48"/>
    <x v="0"/>
    <n v="1"/>
    <n v="110"/>
    <n v="229"/>
    <n v="0"/>
    <n v="1"/>
    <n v="168"/>
    <n v="0"/>
    <n v="1"/>
    <n v="0"/>
    <n v="0"/>
    <n v="3"/>
    <n v="0"/>
    <x v="0"/>
    <x v="0"/>
    <x v="1"/>
    <s v="Normal"/>
    <x v="0"/>
    <x v="0"/>
    <x v="3"/>
  </r>
  <r>
    <n v="70"/>
    <x v="0"/>
    <n v="0"/>
    <n v="130"/>
    <n v="322"/>
    <n v="0"/>
    <n v="0"/>
    <n v="109"/>
    <n v="0"/>
    <n v="2.4"/>
    <n v="1"/>
    <n v="3"/>
    <n v="2"/>
    <n v="0"/>
    <x v="0"/>
    <x v="0"/>
    <x v="0"/>
    <s v="Normal"/>
    <x v="0"/>
    <x v="2"/>
    <x v="2"/>
  </r>
  <r>
    <n v="67"/>
    <x v="1"/>
    <n v="0"/>
    <n v="106"/>
    <n v="223"/>
    <n v="0"/>
    <n v="1"/>
    <n v="142"/>
    <n v="0"/>
    <n v="0.3"/>
    <n v="2"/>
    <n v="2"/>
    <n v="2"/>
    <n v="1"/>
    <x v="1"/>
    <x v="1"/>
    <x v="0"/>
    <s v="Normal"/>
    <x v="0"/>
    <x v="1"/>
    <x v="3"/>
  </r>
  <r>
    <n v="51"/>
    <x v="1"/>
    <n v="2"/>
    <n v="120"/>
    <n v="295"/>
    <n v="0"/>
    <n v="0"/>
    <n v="157"/>
    <n v="0"/>
    <n v="0.6"/>
    <n v="2"/>
    <n v="0"/>
    <n v="2"/>
    <n v="1"/>
    <x v="1"/>
    <x v="1"/>
    <x v="2"/>
    <s v="Normal"/>
    <x v="0"/>
    <x v="1"/>
    <x v="0"/>
  </r>
  <r>
    <n v="68"/>
    <x v="0"/>
    <n v="2"/>
    <n v="118"/>
    <n v="277"/>
    <n v="0"/>
    <n v="1"/>
    <n v="151"/>
    <n v="0"/>
    <n v="1"/>
    <n v="2"/>
    <n v="1"/>
    <n v="3"/>
    <n v="1"/>
    <x v="0"/>
    <x v="1"/>
    <x v="2"/>
    <s v="Normal"/>
    <x v="0"/>
    <x v="0"/>
    <x v="3"/>
  </r>
  <r>
    <n v="69"/>
    <x v="0"/>
    <n v="2"/>
    <n v="140"/>
    <n v="254"/>
    <n v="0"/>
    <n v="0"/>
    <n v="146"/>
    <n v="0"/>
    <n v="2"/>
    <n v="1"/>
    <n v="3"/>
    <n v="3"/>
    <n v="0"/>
    <x v="0"/>
    <x v="0"/>
    <x v="2"/>
    <s v="Normal"/>
    <x v="0"/>
    <x v="1"/>
    <x v="1"/>
  </r>
  <r>
    <n v="54"/>
    <x v="0"/>
    <n v="0"/>
    <n v="122"/>
    <n v="286"/>
    <n v="0"/>
    <n v="0"/>
    <n v="116"/>
    <n v="1"/>
    <n v="3.2"/>
    <n v="1"/>
    <n v="2"/>
    <n v="2"/>
    <n v="0"/>
    <x v="0"/>
    <x v="0"/>
    <x v="0"/>
    <s v="Normal"/>
    <x v="1"/>
    <x v="1"/>
    <x v="0"/>
  </r>
  <r>
    <n v="43"/>
    <x v="1"/>
    <n v="0"/>
    <n v="132"/>
    <n v="341"/>
    <n v="1"/>
    <n v="0"/>
    <n v="136"/>
    <n v="1"/>
    <n v="3"/>
    <n v="1"/>
    <n v="0"/>
    <n v="3"/>
    <n v="0"/>
    <x v="1"/>
    <x v="0"/>
    <x v="0"/>
    <s v="High"/>
    <x v="1"/>
    <x v="0"/>
    <x v="2"/>
  </r>
  <r>
    <n v="53"/>
    <x v="0"/>
    <n v="2"/>
    <n v="130"/>
    <n v="197"/>
    <n v="1"/>
    <n v="0"/>
    <n v="152"/>
    <n v="0"/>
    <n v="1.2"/>
    <n v="0"/>
    <n v="0"/>
    <n v="2"/>
    <n v="1"/>
    <x v="0"/>
    <x v="1"/>
    <x v="2"/>
    <s v="High"/>
    <x v="0"/>
    <x v="2"/>
    <x v="2"/>
  </r>
  <r>
    <n v="58"/>
    <x v="0"/>
    <n v="0"/>
    <n v="100"/>
    <n v="234"/>
    <n v="0"/>
    <n v="1"/>
    <n v="156"/>
    <n v="0"/>
    <n v="0.1"/>
    <n v="2"/>
    <n v="1"/>
    <n v="3"/>
    <n v="0"/>
    <x v="0"/>
    <x v="0"/>
    <x v="0"/>
    <s v="Normal"/>
    <x v="0"/>
    <x v="0"/>
    <x v="3"/>
  </r>
  <r>
    <n v="67"/>
    <x v="0"/>
    <n v="0"/>
    <n v="125"/>
    <n v="254"/>
    <n v="1"/>
    <n v="1"/>
    <n v="163"/>
    <n v="0"/>
    <n v="0.2"/>
    <n v="1"/>
    <n v="2"/>
    <n v="3"/>
    <n v="0"/>
    <x v="0"/>
    <x v="0"/>
    <x v="0"/>
    <s v="High"/>
    <x v="0"/>
    <x v="0"/>
    <x v="0"/>
  </r>
  <r>
    <n v="59"/>
    <x v="0"/>
    <n v="0"/>
    <n v="140"/>
    <n v="177"/>
    <n v="0"/>
    <n v="1"/>
    <n v="162"/>
    <n v="1"/>
    <n v="0"/>
    <n v="2"/>
    <n v="1"/>
    <n v="3"/>
    <n v="0"/>
    <x v="0"/>
    <x v="0"/>
    <x v="0"/>
    <s v="Normal"/>
    <x v="1"/>
    <x v="1"/>
    <x v="1"/>
  </r>
  <r>
    <n v="48"/>
    <x v="0"/>
    <n v="0"/>
    <n v="122"/>
    <n v="222"/>
    <n v="0"/>
    <n v="0"/>
    <n v="186"/>
    <n v="0"/>
    <n v="0"/>
    <n v="2"/>
    <n v="0"/>
    <n v="2"/>
    <n v="1"/>
    <x v="0"/>
    <x v="1"/>
    <x v="0"/>
    <s v="Normal"/>
    <x v="0"/>
    <x v="0"/>
    <x v="0"/>
  </r>
  <r>
    <n v="39"/>
    <x v="1"/>
    <n v="2"/>
    <n v="94"/>
    <n v="199"/>
    <n v="0"/>
    <n v="1"/>
    <n v="179"/>
    <n v="0"/>
    <n v="0"/>
    <n v="2"/>
    <n v="0"/>
    <n v="2"/>
    <n v="1"/>
    <x v="1"/>
    <x v="1"/>
    <x v="2"/>
    <s v="Normal"/>
    <x v="0"/>
    <x v="2"/>
    <x v="3"/>
  </r>
  <r>
    <n v="67"/>
    <x v="0"/>
    <n v="0"/>
    <n v="120"/>
    <n v="237"/>
    <n v="0"/>
    <n v="1"/>
    <n v="71"/>
    <n v="0"/>
    <n v="1"/>
    <n v="1"/>
    <n v="0"/>
    <n v="2"/>
    <n v="0"/>
    <x v="0"/>
    <x v="0"/>
    <x v="0"/>
    <s v="Normal"/>
    <x v="0"/>
    <x v="3"/>
    <x v="0"/>
  </r>
  <r>
    <n v="58"/>
    <x v="1"/>
    <n v="0"/>
    <n v="130"/>
    <n v="197"/>
    <n v="0"/>
    <n v="1"/>
    <n v="131"/>
    <n v="0"/>
    <n v="0.6"/>
    <n v="1"/>
    <n v="0"/>
    <n v="2"/>
    <n v="1"/>
    <x v="1"/>
    <x v="1"/>
    <x v="0"/>
    <s v="Normal"/>
    <x v="0"/>
    <x v="1"/>
    <x v="2"/>
  </r>
  <r>
    <n v="65"/>
    <x v="1"/>
    <n v="2"/>
    <n v="155"/>
    <n v="269"/>
    <n v="0"/>
    <n v="1"/>
    <n v="148"/>
    <n v="0"/>
    <n v="0.8"/>
    <n v="2"/>
    <n v="0"/>
    <n v="2"/>
    <n v="1"/>
    <x v="1"/>
    <x v="1"/>
    <x v="2"/>
    <s v="Normal"/>
    <x v="0"/>
    <x v="0"/>
    <x v="1"/>
  </r>
  <r>
    <n v="42"/>
    <x v="1"/>
    <n v="2"/>
    <n v="120"/>
    <n v="209"/>
    <n v="0"/>
    <n v="1"/>
    <n v="173"/>
    <n v="0"/>
    <n v="0"/>
    <n v="1"/>
    <n v="0"/>
    <n v="2"/>
    <n v="1"/>
    <x v="1"/>
    <x v="1"/>
    <x v="2"/>
    <s v="Normal"/>
    <x v="0"/>
    <x v="1"/>
    <x v="0"/>
  </r>
  <r>
    <n v="44"/>
    <x v="0"/>
    <n v="0"/>
    <n v="112"/>
    <n v="290"/>
    <n v="0"/>
    <n v="0"/>
    <n v="153"/>
    <n v="0"/>
    <n v="0"/>
    <n v="2"/>
    <n v="1"/>
    <n v="2"/>
    <n v="0"/>
    <x v="0"/>
    <x v="0"/>
    <x v="0"/>
    <s v="Normal"/>
    <x v="0"/>
    <x v="2"/>
    <x v="3"/>
  </r>
  <r>
    <n v="56"/>
    <x v="0"/>
    <n v="0"/>
    <n v="132"/>
    <n v="184"/>
    <n v="0"/>
    <n v="0"/>
    <n v="105"/>
    <n v="1"/>
    <n v="2.1"/>
    <n v="1"/>
    <n v="1"/>
    <n v="1"/>
    <n v="0"/>
    <x v="0"/>
    <x v="0"/>
    <x v="0"/>
    <s v="Normal"/>
    <x v="1"/>
    <x v="2"/>
    <x v="2"/>
  </r>
  <r>
    <n v="53"/>
    <x v="1"/>
    <n v="0"/>
    <n v="138"/>
    <n v="234"/>
    <n v="0"/>
    <n v="0"/>
    <n v="160"/>
    <n v="0"/>
    <n v="0"/>
    <n v="2"/>
    <n v="0"/>
    <n v="2"/>
    <n v="1"/>
    <x v="1"/>
    <x v="1"/>
    <x v="0"/>
    <s v="Normal"/>
    <x v="0"/>
    <x v="0"/>
    <x v="2"/>
  </r>
  <r>
    <n v="50"/>
    <x v="1"/>
    <n v="0"/>
    <n v="110"/>
    <n v="254"/>
    <n v="0"/>
    <n v="0"/>
    <n v="159"/>
    <n v="0"/>
    <n v="0"/>
    <n v="2"/>
    <n v="0"/>
    <n v="2"/>
    <n v="1"/>
    <x v="1"/>
    <x v="1"/>
    <x v="0"/>
    <s v="Normal"/>
    <x v="0"/>
    <x v="0"/>
    <x v="3"/>
  </r>
  <r>
    <n v="41"/>
    <x v="0"/>
    <n v="2"/>
    <n v="130"/>
    <n v="214"/>
    <n v="0"/>
    <n v="0"/>
    <n v="168"/>
    <n v="0"/>
    <n v="2"/>
    <n v="1"/>
    <n v="0"/>
    <n v="2"/>
    <n v="1"/>
    <x v="0"/>
    <x v="1"/>
    <x v="2"/>
    <s v="Normal"/>
    <x v="0"/>
    <x v="0"/>
    <x v="2"/>
  </r>
  <r>
    <n v="54"/>
    <x v="1"/>
    <n v="2"/>
    <n v="160"/>
    <n v="201"/>
    <n v="0"/>
    <n v="1"/>
    <n v="163"/>
    <n v="0"/>
    <n v="0"/>
    <n v="2"/>
    <n v="1"/>
    <n v="2"/>
    <n v="1"/>
    <x v="1"/>
    <x v="1"/>
    <x v="2"/>
    <s v="Normal"/>
    <x v="0"/>
    <x v="2"/>
    <x v="1"/>
  </r>
  <r>
    <n v="42"/>
    <x v="0"/>
    <n v="2"/>
    <n v="120"/>
    <n v="240"/>
    <n v="1"/>
    <n v="1"/>
    <n v="194"/>
    <n v="0"/>
    <n v="0.8"/>
    <n v="0"/>
    <n v="0"/>
    <n v="3"/>
    <n v="1"/>
    <x v="0"/>
    <x v="1"/>
    <x v="2"/>
    <s v="High"/>
    <x v="0"/>
    <x v="0"/>
    <x v="0"/>
  </r>
  <r>
    <n v="54"/>
    <x v="1"/>
    <n v="2"/>
    <n v="135"/>
    <n v="304"/>
    <n v="1"/>
    <n v="1"/>
    <n v="170"/>
    <n v="0"/>
    <n v="0"/>
    <n v="2"/>
    <n v="0"/>
    <n v="2"/>
    <n v="1"/>
    <x v="1"/>
    <x v="1"/>
    <x v="2"/>
    <s v="High"/>
    <x v="0"/>
    <x v="2"/>
    <x v="2"/>
  </r>
  <r>
    <n v="60"/>
    <x v="0"/>
    <n v="0"/>
    <n v="145"/>
    <n v="282"/>
    <n v="0"/>
    <n v="0"/>
    <n v="142"/>
    <n v="1"/>
    <n v="2.8"/>
    <n v="1"/>
    <n v="2"/>
    <n v="3"/>
    <n v="0"/>
    <x v="0"/>
    <x v="0"/>
    <x v="0"/>
    <s v="Normal"/>
    <x v="1"/>
    <x v="0"/>
    <x v="1"/>
  </r>
  <r>
    <n v="34"/>
    <x v="0"/>
    <n v="3"/>
    <n v="118"/>
    <n v="182"/>
    <n v="0"/>
    <n v="0"/>
    <n v="174"/>
    <n v="0"/>
    <n v="0"/>
    <n v="2"/>
    <n v="0"/>
    <n v="2"/>
    <n v="1"/>
    <x v="0"/>
    <x v="1"/>
    <x v="3"/>
    <s v="Normal"/>
    <x v="0"/>
    <x v="1"/>
    <x v="3"/>
  </r>
  <r>
    <n v="44"/>
    <x v="0"/>
    <n v="0"/>
    <n v="112"/>
    <n v="290"/>
    <n v="0"/>
    <n v="0"/>
    <n v="153"/>
    <n v="0"/>
    <n v="0"/>
    <n v="2"/>
    <n v="1"/>
    <n v="2"/>
    <n v="0"/>
    <x v="0"/>
    <x v="0"/>
    <x v="0"/>
    <s v="Normal"/>
    <x v="0"/>
    <x v="3"/>
    <x v="3"/>
  </r>
  <r>
    <n v="60"/>
    <x v="0"/>
    <n v="0"/>
    <n v="125"/>
    <n v="258"/>
    <n v="0"/>
    <n v="0"/>
    <n v="141"/>
    <n v="1"/>
    <n v="2.8"/>
    <n v="1"/>
    <n v="1"/>
    <n v="3"/>
    <n v="0"/>
    <x v="0"/>
    <x v="0"/>
    <x v="0"/>
    <s v="Normal"/>
    <x v="1"/>
    <x v="2"/>
    <x v="0"/>
  </r>
  <r>
    <n v="43"/>
    <x v="0"/>
    <n v="0"/>
    <n v="150"/>
    <n v="247"/>
    <n v="0"/>
    <n v="1"/>
    <n v="171"/>
    <n v="0"/>
    <n v="1.5"/>
    <n v="2"/>
    <n v="0"/>
    <n v="2"/>
    <n v="1"/>
    <x v="0"/>
    <x v="1"/>
    <x v="0"/>
    <s v="Normal"/>
    <x v="0"/>
    <x v="1"/>
    <x v="1"/>
  </r>
  <r>
    <n v="52"/>
    <x v="0"/>
    <n v="3"/>
    <n v="152"/>
    <n v="298"/>
    <n v="1"/>
    <n v="1"/>
    <n v="178"/>
    <n v="0"/>
    <n v="1.2"/>
    <n v="1"/>
    <n v="0"/>
    <n v="3"/>
    <n v="1"/>
    <x v="0"/>
    <x v="1"/>
    <x v="3"/>
    <s v="High"/>
    <x v="0"/>
    <x v="2"/>
    <x v="1"/>
  </r>
  <r>
    <n v="70"/>
    <x v="0"/>
    <n v="0"/>
    <n v="130"/>
    <n v="322"/>
    <n v="0"/>
    <n v="0"/>
    <n v="109"/>
    <n v="0"/>
    <n v="2.4"/>
    <n v="1"/>
    <n v="3"/>
    <n v="2"/>
    <n v="0"/>
    <x v="0"/>
    <x v="0"/>
    <x v="0"/>
    <s v="Normal"/>
    <x v="0"/>
    <x v="0"/>
    <x v="2"/>
  </r>
  <r>
    <n v="62"/>
    <x v="1"/>
    <n v="0"/>
    <n v="140"/>
    <n v="394"/>
    <n v="0"/>
    <n v="0"/>
    <n v="157"/>
    <n v="0"/>
    <n v="1.2"/>
    <n v="1"/>
    <n v="0"/>
    <n v="2"/>
    <n v="1"/>
    <x v="1"/>
    <x v="1"/>
    <x v="0"/>
    <s v="Normal"/>
    <x v="0"/>
    <x v="1"/>
    <x v="1"/>
  </r>
  <r>
    <n v="58"/>
    <x v="0"/>
    <n v="0"/>
    <n v="146"/>
    <n v="218"/>
    <n v="0"/>
    <n v="1"/>
    <n v="105"/>
    <n v="0"/>
    <n v="2"/>
    <n v="1"/>
    <n v="1"/>
    <n v="3"/>
    <n v="0"/>
    <x v="0"/>
    <x v="0"/>
    <x v="0"/>
    <s v="Normal"/>
    <x v="0"/>
    <x v="1"/>
    <x v="1"/>
  </r>
  <r>
    <n v="46"/>
    <x v="0"/>
    <n v="1"/>
    <n v="101"/>
    <n v="197"/>
    <n v="1"/>
    <n v="1"/>
    <n v="156"/>
    <n v="0"/>
    <n v="0"/>
    <n v="2"/>
    <n v="0"/>
    <n v="3"/>
    <n v="1"/>
    <x v="0"/>
    <x v="1"/>
    <x v="1"/>
    <s v="High"/>
    <x v="0"/>
    <x v="0"/>
    <x v="3"/>
  </r>
  <r>
    <n v="44"/>
    <x v="0"/>
    <n v="2"/>
    <n v="140"/>
    <n v="235"/>
    <n v="0"/>
    <n v="0"/>
    <n v="180"/>
    <n v="0"/>
    <n v="0"/>
    <n v="2"/>
    <n v="0"/>
    <n v="2"/>
    <n v="1"/>
    <x v="0"/>
    <x v="1"/>
    <x v="2"/>
    <s v="Normal"/>
    <x v="0"/>
    <x v="2"/>
    <x v="1"/>
  </r>
  <r>
    <n v="55"/>
    <x v="0"/>
    <n v="1"/>
    <n v="130"/>
    <n v="262"/>
    <n v="0"/>
    <n v="1"/>
    <n v="155"/>
    <n v="0"/>
    <n v="0"/>
    <n v="2"/>
    <n v="0"/>
    <n v="2"/>
    <n v="1"/>
    <x v="0"/>
    <x v="1"/>
    <x v="1"/>
    <s v="Normal"/>
    <x v="0"/>
    <x v="2"/>
    <x v="2"/>
  </r>
  <r>
    <n v="43"/>
    <x v="0"/>
    <n v="0"/>
    <n v="120"/>
    <n v="177"/>
    <n v="0"/>
    <n v="0"/>
    <n v="120"/>
    <n v="1"/>
    <n v="2.5"/>
    <n v="1"/>
    <n v="0"/>
    <n v="3"/>
    <n v="0"/>
    <x v="0"/>
    <x v="0"/>
    <x v="0"/>
    <s v="Normal"/>
    <x v="1"/>
    <x v="0"/>
    <x v="0"/>
  </r>
  <r>
    <n v="55"/>
    <x v="0"/>
    <n v="0"/>
    <n v="132"/>
    <n v="353"/>
    <n v="0"/>
    <n v="1"/>
    <n v="132"/>
    <n v="1"/>
    <n v="1.2"/>
    <n v="1"/>
    <n v="1"/>
    <n v="3"/>
    <n v="0"/>
    <x v="0"/>
    <x v="0"/>
    <x v="0"/>
    <s v="Normal"/>
    <x v="1"/>
    <x v="2"/>
    <x v="2"/>
  </r>
  <r>
    <n v="40"/>
    <x v="0"/>
    <n v="3"/>
    <n v="140"/>
    <n v="199"/>
    <n v="0"/>
    <n v="1"/>
    <n v="178"/>
    <n v="1"/>
    <n v="1.4"/>
    <n v="2"/>
    <n v="0"/>
    <n v="3"/>
    <n v="1"/>
    <x v="0"/>
    <x v="1"/>
    <x v="3"/>
    <s v="Normal"/>
    <x v="1"/>
    <x v="0"/>
    <x v="1"/>
  </r>
  <r>
    <n v="64"/>
    <x v="0"/>
    <n v="2"/>
    <n v="125"/>
    <n v="309"/>
    <n v="0"/>
    <n v="1"/>
    <n v="131"/>
    <n v="1"/>
    <n v="1.8"/>
    <n v="1"/>
    <n v="0"/>
    <n v="3"/>
    <n v="0"/>
    <x v="0"/>
    <x v="0"/>
    <x v="2"/>
    <s v="Normal"/>
    <x v="1"/>
    <x v="2"/>
    <x v="0"/>
  </r>
  <r>
    <n v="59"/>
    <x v="0"/>
    <n v="0"/>
    <n v="164"/>
    <n v="176"/>
    <n v="1"/>
    <n v="0"/>
    <n v="90"/>
    <n v="0"/>
    <n v="1"/>
    <n v="1"/>
    <n v="2"/>
    <n v="1"/>
    <n v="0"/>
    <x v="0"/>
    <x v="0"/>
    <x v="0"/>
    <s v="High"/>
    <x v="0"/>
    <x v="1"/>
    <x v="1"/>
  </r>
  <r>
    <n v="61"/>
    <x v="1"/>
    <n v="0"/>
    <n v="145"/>
    <n v="307"/>
    <n v="0"/>
    <n v="0"/>
    <n v="146"/>
    <n v="1"/>
    <n v="1"/>
    <n v="1"/>
    <n v="0"/>
    <n v="3"/>
    <n v="0"/>
    <x v="1"/>
    <x v="0"/>
    <x v="0"/>
    <s v="Normal"/>
    <x v="1"/>
    <x v="0"/>
    <x v="1"/>
  </r>
  <r>
    <n v="54"/>
    <x v="0"/>
    <n v="0"/>
    <n v="122"/>
    <n v="286"/>
    <n v="0"/>
    <n v="0"/>
    <n v="116"/>
    <n v="1"/>
    <n v="3.2"/>
    <n v="1"/>
    <n v="2"/>
    <n v="2"/>
    <n v="0"/>
    <x v="0"/>
    <x v="0"/>
    <x v="0"/>
    <s v="Normal"/>
    <x v="1"/>
    <x v="1"/>
    <x v="0"/>
  </r>
  <r>
    <n v="74"/>
    <x v="1"/>
    <n v="1"/>
    <n v="120"/>
    <n v="269"/>
    <n v="0"/>
    <n v="0"/>
    <n v="121"/>
    <n v="1"/>
    <n v="0.2"/>
    <n v="2"/>
    <n v="1"/>
    <n v="2"/>
    <n v="1"/>
    <x v="1"/>
    <x v="1"/>
    <x v="1"/>
    <s v="Normal"/>
    <x v="1"/>
    <x v="0"/>
    <x v="0"/>
  </r>
  <r>
    <n v="63"/>
    <x v="1"/>
    <n v="0"/>
    <n v="108"/>
    <n v="269"/>
    <n v="0"/>
    <n v="1"/>
    <n v="169"/>
    <n v="1"/>
    <n v="1.8"/>
    <n v="1"/>
    <n v="2"/>
    <n v="2"/>
    <n v="0"/>
    <x v="1"/>
    <x v="0"/>
    <x v="0"/>
    <s v="Normal"/>
    <x v="1"/>
    <x v="1"/>
    <x v="3"/>
  </r>
  <r>
    <n v="70"/>
    <x v="0"/>
    <n v="2"/>
    <n v="160"/>
    <n v="269"/>
    <n v="0"/>
    <n v="1"/>
    <n v="112"/>
    <n v="1"/>
    <n v="2.9"/>
    <n v="1"/>
    <n v="1"/>
    <n v="3"/>
    <n v="0"/>
    <x v="0"/>
    <x v="0"/>
    <x v="2"/>
    <s v="Normal"/>
    <x v="1"/>
    <x v="1"/>
    <x v="1"/>
  </r>
  <r>
    <n v="63"/>
    <x v="1"/>
    <n v="0"/>
    <n v="108"/>
    <n v="269"/>
    <n v="0"/>
    <n v="1"/>
    <n v="169"/>
    <n v="1"/>
    <n v="1.8"/>
    <n v="1"/>
    <n v="2"/>
    <n v="2"/>
    <n v="0"/>
    <x v="1"/>
    <x v="0"/>
    <x v="0"/>
    <s v="Normal"/>
    <x v="1"/>
    <x v="1"/>
    <x v="3"/>
  </r>
  <r>
    <n v="64"/>
    <x v="0"/>
    <n v="0"/>
    <n v="145"/>
    <n v="212"/>
    <n v="0"/>
    <n v="0"/>
    <n v="132"/>
    <n v="0"/>
    <n v="2"/>
    <n v="1"/>
    <n v="2"/>
    <n v="1"/>
    <n v="0"/>
    <x v="0"/>
    <x v="0"/>
    <x v="0"/>
    <s v="Normal"/>
    <x v="0"/>
    <x v="1"/>
    <x v="1"/>
  </r>
  <r>
    <n v="61"/>
    <x v="0"/>
    <n v="0"/>
    <n v="148"/>
    <n v="203"/>
    <n v="0"/>
    <n v="1"/>
    <n v="161"/>
    <n v="0"/>
    <n v="0"/>
    <n v="2"/>
    <n v="1"/>
    <n v="3"/>
    <n v="0"/>
    <x v="0"/>
    <x v="0"/>
    <x v="0"/>
    <s v="Normal"/>
    <x v="0"/>
    <x v="1"/>
    <x v="1"/>
  </r>
  <r>
    <n v="59"/>
    <x v="0"/>
    <n v="1"/>
    <n v="140"/>
    <n v="221"/>
    <n v="0"/>
    <n v="1"/>
    <n v="164"/>
    <n v="1"/>
    <n v="0"/>
    <n v="2"/>
    <n v="0"/>
    <n v="2"/>
    <n v="1"/>
    <x v="0"/>
    <x v="1"/>
    <x v="1"/>
    <s v="Normal"/>
    <x v="1"/>
    <x v="1"/>
    <x v="1"/>
  </r>
  <r>
    <n v="38"/>
    <x v="0"/>
    <n v="2"/>
    <n v="138"/>
    <n v="175"/>
    <n v="0"/>
    <n v="1"/>
    <n v="173"/>
    <n v="0"/>
    <n v="0"/>
    <n v="2"/>
    <n v="4"/>
    <n v="2"/>
    <n v="1"/>
    <x v="0"/>
    <x v="1"/>
    <x v="2"/>
    <s v="Normal"/>
    <x v="0"/>
    <x v="0"/>
    <x v="2"/>
  </r>
  <r>
    <n v="58"/>
    <x v="0"/>
    <n v="1"/>
    <n v="120"/>
    <n v="284"/>
    <n v="0"/>
    <n v="0"/>
    <n v="160"/>
    <n v="0"/>
    <n v="1.8"/>
    <n v="1"/>
    <n v="0"/>
    <n v="2"/>
    <n v="0"/>
    <x v="0"/>
    <x v="0"/>
    <x v="1"/>
    <s v="Normal"/>
    <x v="0"/>
    <x v="3"/>
    <x v="0"/>
  </r>
  <r>
    <n v="63"/>
    <x v="1"/>
    <n v="1"/>
    <n v="140"/>
    <n v="195"/>
    <n v="0"/>
    <n v="1"/>
    <n v="179"/>
    <n v="0"/>
    <n v="0"/>
    <n v="2"/>
    <n v="2"/>
    <n v="2"/>
    <n v="1"/>
    <x v="1"/>
    <x v="1"/>
    <x v="1"/>
    <s v="Normal"/>
    <x v="0"/>
    <x v="0"/>
    <x v="1"/>
  </r>
  <r>
    <n v="62"/>
    <x v="1"/>
    <n v="2"/>
    <n v="130"/>
    <n v="263"/>
    <n v="0"/>
    <n v="1"/>
    <n v="97"/>
    <n v="0"/>
    <n v="1.2"/>
    <n v="1"/>
    <n v="1"/>
    <n v="3"/>
    <n v="0"/>
    <x v="1"/>
    <x v="0"/>
    <x v="2"/>
    <s v="Normal"/>
    <x v="0"/>
    <x v="1"/>
    <x v="2"/>
  </r>
  <r>
    <n v="46"/>
    <x v="0"/>
    <n v="0"/>
    <n v="140"/>
    <n v="311"/>
    <n v="0"/>
    <n v="1"/>
    <n v="120"/>
    <n v="1"/>
    <n v="1.8"/>
    <n v="1"/>
    <n v="2"/>
    <n v="3"/>
    <n v="0"/>
    <x v="0"/>
    <x v="0"/>
    <x v="0"/>
    <s v="Normal"/>
    <x v="1"/>
    <x v="1"/>
    <x v="1"/>
  </r>
  <r>
    <n v="58"/>
    <x v="1"/>
    <n v="2"/>
    <n v="120"/>
    <n v="340"/>
    <n v="0"/>
    <n v="1"/>
    <n v="172"/>
    <n v="0"/>
    <n v="0"/>
    <n v="2"/>
    <n v="0"/>
    <n v="2"/>
    <n v="1"/>
    <x v="1"/>
    <x v="1"/>
    <x v="2"/>
    <s v="Normal"/>
    <x v="0"/>
    <x v="2"/>
    <x v="0"/>
  </r>
  <r>
    <n v="63"/>
    <x v="1"/>
    <n v="1"/>
    <n v="140"/>
    <n v="195"/>
    <n v="0"/>
    <n v="1"/>
    <n v="179"/>
    <n v="0"/>
    <n v="0"/>
    <n v="2"/>
    <n v="2"/>
    <n v="2"/>
    <n v="1"/>
    <x v="1"/>
    <x v="1"/>
    <x v="1"/>
    <s v="Normal"/>
    <x v="0"/>
    <x v="0"/>
    <x v="1"/>
  </r>
  <r>
    <n v="47"/>
    <x v="0"/>
    <n v="2"/>
    <n v="130"/>
    <n v="253"/>
    <n v="0"/>
    <n v="1"/>
    <n v="179"/>
    <n v="0"/>
    <n v="0"/>
    <n v="2"/>
    <n v="0"/>
    <n v="2"/>
    <n v="1"/>
    <x v="0"/>
    <x v="1"/>
    <x v="2"/>
    <s v="Normal"/>
    <x v="0"/>
    <x v="1"/>
    <x v="2"/>
  </r>
  <r>
    <n v="71"/>
    <x v="1"/>
    <n v="2"/>
    <n v="110"/>
    <n v="265"/>
    <n v="1"/>
    <n v="0"/>
    <n v="130"/>
    <n v="0"/>
    <n v="0"/>
    <n v="2"/>
    <n v="1"/>
    <n v="2"/>
    <n v="1"/>
    <x v="1"/>
    <x v="1"/>
    <x v="2"/>
    <s v="High"/>
    <x v="0"/>
    <x v="2"/>
    <x v="3"/>
  </r>
  <r>
    <n v="66"/>
    <x v="0"/>
    <n v="0"/>
    <n v="112"/>
    <n v="212"/>
    <n v="0"/>
    <n v="0"/>
    <n v="132"/>
    <n v="1"/>
    <n v="0.1"/>
    <n v="2"/>
    <n v="1"/>
    <n v="2"/>
    <n v="0"/>
    <x v="0"/>
    <x v="0"/>
    <x v="0"/>
    <s v="Normal"/>
    <x v="1"/>
    <x v="1"/>
    <x v="3"/>
  </r>
  <r>
    <n v="42"/>
    <x v="0"/>
    <n v="0"/>
    <n v="136"/>
    <n v="315"/>
    <n v="0"/>
    <n v="1"/>
    <n v="125"/>
    <n v="1"/>
    <n v="1.8"/>
    <n v="1"/>
    <n v="0"/>
    <n v="1"/>
    <n v="0"/>
    <x v="0"/>
    <x v="0"/>
    <x v="0"/>
    <s v="Normal"/>
    <x v="1"/>
    <x v="1"/>
    <x v="2"/>
  </r>
  <r>
    <n v="64"/>
    <x v="0"/>
    <n v="0"/>
    <n v="145"/>
    <n v="212"/>
    <n v="0"/>
    <n v="0"/>
    <n v="132"/>
    <n v="0"/>
    <n v="2"/>
    <n v="1"/>
    <n v="2"/>
    <n v="1"/>
    <n v="0"/>
    <x v="0"/>
    <x v="0"/>
    <x v="0"/>
    <s v="Normal"/>
    <x v="0"/>
    <x v="2"/>
    <x v="1"/>
  </r>
  <r>
    <n v="55"/>
    <x v="1"/>
    <n v="0"/>
    <n v="180"/>
    <n v="327"/>
    <n v="0"/>
    <n v="2"/>
    <n v="117"/>
    <n v="1"/>
    <n v="3.4"/>
    <n v="1"/>
    <n v="0"/>
    <n v="2"/>
    <n v="0"/>
    <x v="1"/>
    <x v="0"/>
    <x v="0"/>
    <s v="Normal"/>
    <x v="1"/>
    <x v="1"/>
    <x v="1"/>
  </r>
  <r>
    <n v="43"/>
    <x v="1"/>
    <n v="0"/>
    <n v="132"/>
    <n v="341"/>
    <n v="1"/>
    <n v="0"/>
    <n v="136"/>
    <n v="1"/>
    <n v="3"/>
    <n v="1"/>
    <n v="0"/>
    <n v="3"/>
    <n v="0"/>
    <x v="1"/>
    <x v="0"/>
    <x v="0"/>
    <s v="High"/>
    <x v="1"/>
    <x v="0"/>
    <x v="2"/>
  </r>
  <r>
    <n v="55"/>
    <x v="1"/>
    <n v="0"/>
    <n v="128"/>
    <n v="205"/>
    <n v="0"/>
    <n v="2"/>
    <n v="130"/>
    <n v="1"/>
    <n v="2"/>
    <n v="1"/>
    <n v="1"/>
    <n v="3"/>
    <n v="0"/>
    <x v="1"/>
    <x v="0"/>
    <x v="0"/>
    <s v="Normal"/>
    <x v="1"/>
    <x v="2"/>
    <x v="0"/>
  </r>
  <r>
    <n v="58"/>
    <x v="1"/>
    <n v="0"/>
    <n v="170"/>
    <n v="225"/>
    <n v="1"/>
    <n v="0"/>
    <n v="146"/>
    <n v="1"/>
    <n v="2.8"/>
    <n v="1"/>
    <n v="2"/>
    <n v="1"/>
    <n v="0"/>
    <x v="1"/>
    <x v="0"/>
    <x v="0"/>
    <s v="High"/>
    <x v="1"/>
    <x v="0"/>
    <x v="1"/>
  </r>
  <r>
    <n v="55"/>
    <x v="0"/>
    <n v="0"/>
    <n v="140"/>
    <n v="217"/>
    <n v="0"/>
    <n v="1"/>
    <n v="111"/>
    <n v="1"/>
    <n v="5.6"/>
    <n v="0"/>
    <n v="0"/>
    <n v="3"/>
    <n v="0"/>
    <x v="0"/>
    <x v="0"/>
    <x v="0"/>
    <s v="Normal"/>
    <x v="1"/>
    <x v="0"/>
    <x v="1"/>
  </r>
  <r>
    <n v="51"/>
    <x v="1"/>
    <n v="0"/>
    <n v="130"/>
    <n v="305"/>
    <n v="0"/>
    <n v="1"/>
    <n v="142"/>
    <n v="1"/>
    <n v="1.2"/>
    <n v="1"/>
    <n v="0"/>
    <n v="3"/>
    <n v="0"/>
    <x v="1"/>
    <x v="0"/>
    <x v="0"/>
    <s v="Normal"/>
    <x v="1"/>
    <x v="0"/>
    <x v="2"/>
  </r>
  <r>
    <n v="50"/>
    <x v="1"/>
    <n v="2"/>
    <n v="120"/>
    <n v="219"/>
    <n v="0"/>
    <n v="1"/>
    <n v="158"/>
    <n v="0"/>
    <n v="1.6"/>
    <n v="1"/>
    <n v="0"/>
    <n v="2"/>
    <n v="1"/>
    <x v="1"/>
    <x v="1"/>
    <x v="2"/>
    <s v="Normal"/>
    <x v="0"/>
    <x v="0"/>
    <x v="0"/>
  </r>
  <r>
    <n v="43"/>
    <x v="0"/>
    <n v="0"/>
    <n v="115"/>
    <n v="303"/>
    <n v="0"/>
    <n v="1"/>
    <n v="181"/>
    <n v="0"/>
    <n v="1.2"/>
    <n v="1"/>
    <n v="0"/>
    <n v="2"/>
    <n v="1"/>
    <x v="0"/>
    <x v="1"/>
    <x v="0"/>
    <s v="Normal"/>
    <x v="0"/>
    <x v="0"/>
    <x v="3"/>
  </r>
  <r>
    <n v="41"/>
    <x v="1"/>
    <n v="1"/>
    <n v="126"/>
    <n v="306"/>
    <n v="0"/>
    <n v="1"/>
    <n v="163"/>
    <n v="0"/>
    <n v="0"/>
    <n v="2"/>
    <n v="0"/>
    <n v="2"/>
    <n v="1"/>
    <x v="1"/>
    <x v="1"/>
    <x v="1"/>
    <s v="Normal"/>
    <x v="0"/>
    <x v="2"/>
    <x v="0"/>
  </r>
  <r>
    <n v="49"/>
    <x v="0"/>
    <n v="1"/>
    <n v="130"/>
    <n v="266"/>
    <n v="0"/>
    <n v="1"/>
    <n v="171"/>
    <n v="0"/>
    <n v="0.6"/>
    <n v="2"/>
    <n v="0"/>
    <n v="2"/>
    <n v="1"/>
    <x v="0"/>
    <x v="1"/>
    <x v="1"/>
    <s v="Normal"/>
    <x v="0"/>
    <x v="2"/>
    <x v="2"/>
  </r>
  <r>
    <n v="65"/>
    <x v="0"/>
    <n v="0"/>
    <n v="110"/>
    <n v="248"/>
    <n v="0"/>
    <n v="0"/>
    <n v="158"/>
    <n v="0"/>
    <n v="0.6"/>
    <n v="2"/>
    <n v="2"/>
    <n v="1"/>
    <n v="0"/>
    <x v="0"/>
    <x v="0"/>
    <x v="0"/>
    <s v="Normal"/>
    <x v="0"/>
    <x v="2"/>
    <x v="3"/>
  </r>
  <r>
    <n v="57"/>
    <x v="0"/>
    <n v="0"/>
    <n v="152"/>
    <n v="274"/>
    <n v="0"/>
    <n v="1"/>
    <n v="88"/>
    <n v="1"/>
    <n v="1.2"/>
    <n v="1"/>
    <n v="1"/>
    <n v="3"/>
    <n v="0"/>
    <x v="0"/>
    <x v="0"/>
    <x v="0"/>
    <s v="Normal"/>
    <x v="1"/>
    <x v="1"/>
    <x v="1"/>
  </r>
  <r>
    <n v="48"/>
    <x v="0"/>
    <n v="0"/>
    <n v="130"/>
    <n v="256"/>
    <n v="1"/>
    <n v="0"/>
    <n v="150"/>
    <n v="1"/>
    <n v="0"/>
    <n v="2"/>
    <n v="2"/>
    <n v="3"/>
    <n v="0"/>
    <x v="0"/>
    <x v="0"/>
    <x v="0"/>
    <s v="High"/>
    <x v="1"/>
    <x v="0"/>
    <x v="2"/>
  </r>
  <r>
    <n v="62"/>
    <x v="1"/>
    <n v="0"/>
    <n v="138"/>
    <n v="294"/>
    <n v="1"/>
    <n v="1"/>
    <n v="106"/>
    <n v="0"/>
    <n v="1.9"/>
    <n v="1"/>
    <n v="3"/>
    <n v="2"/>
    <n v="0"/>
    <x v="1"/>
    <x v="0"/>
    <x v="0"/>
    <s v="High"/>
    <x v="0"/>
    <x v="2"/>
    <x v="2"/>
  </r>
  <r>
    <n v="61"/>
    <x v="0"/>
    <n v="3"/>
    <n v="134"/>
    <n v="234"/>
    <n v="0"/>
    <n v="1"/>
    <n v="145"/>
    <n v="0"/>
    <n v="2.6"/>
    <n v="1"/>
    <n v="2"/>
    <n v="2"/>
    <n v="0"/>
    <x v="0"/>
    <x v="0"/>
    <x v="3"/>
    <s v="Normal"/>
    <x v="0"/>
    <x v="1"/>
    <x v="2"/>
  </r>
  <r>
    <n v="59"/>
    <x v="0"/>
    <n v="3"/>
    <n v="178"/>
    <n v="270"/>
    <n v="0"/>
    <n v="0"/>
    <n v="145"/>
    <n v="0"/>
    <n v="4.2"/>
    <n v="0"/>
    <n v="0"/>
    <n v="3"/>
    <n v="1"/>
    <x v="0"/>
    <x v="1"/>
    <x v="3"/>
    <s v="Normal"/>
    <x v="0"/>
    <x v="1"/>
    <x v="1"/>
  </r>
  <r>
    <n v="69"/>
    <x v="0"/>
    <n v="2"/>
    <n v="140"/>
    <n v="254"/>
    <n v="0"/>
    <n v="0"/>
    <n v="146"/>
    <n v="0"/>
    <n v="2"/>
    <n v="1"/>
    <n v="3"/>
    <n v="3"/>
    <n v="0"/>
    <x v="0"/>
    <x v="0"/>
    <x v="2"/>
    <s v="Normal"/>
    <x v="0"/>
    <x v="0"/>
    <x v="1"/>
  </r>
  <r>
    <n v="58"/>
    <x v="0"/>
    <n v="2"/>
    <n v="132"/>
    <n v="224"/>
    <n v="0"/>
    <n v="0"/>
    <n v="173"/>
    <n v="0"/>
    <n v="3.2"/>
    <n v="2"/>
    <n v="2"/>
    <n v="3"/>
    <n v="0"/>
    <x v="0"/>
    <x v="0"/>
    <x v="2"/>
    <s v="Normal"/>
    <x v="0"/>
    <x v="1"/>
    <x v="2"/>
  </r>
  <r>
    <n v="38"/>
    <x v="0"/>
    <n v="3"/>
    <n v="120"/>
    <n v="231"/>
    <n v="0"/>
    <n v="1"/>
    <n v="182"/>
    <n v="1"/>
    <n v="3.8"/>
    <n v="1"/>
    <n v="0"/>
    <n v="3"/>
    <n v="0"/>
    <x v="0"/>
    <x v="0"/>
    <x v="3"/>
    <s v="Normal"/>
    <x v="1"/>
    <x v="0"/>
    <x v="0"/>
  </r>
  <r>
    <n v="69"/>
    <x v="1"/>
    <n v="3"/>
    <n v="140"/>
    <n v="239"/>
    <n v="0"/>
    <n v="1"/>
    <n v="151"/>
    <n v="0"/>
    <n v="1.8"/>
    <n v="2"/>
    <n v="2"/>
    <n v="2"/>
    <n v="1"/>
    <x v="1"/>
    <x v="1"/>
    <x v="3"/>
    <s v="Normal"/>
    <x v="0"/>
    <x v="3"/>
    <x v="1"/>
  </r>
  <r>
    <n v="65"/>
    <x v="0"/>
    <n v="3"/>
    <n v="138"/>
    <n v="282"/>
    <n v="1"/>
    <n v="0"/>
    <n v="174"/>
    <n v="0"/>
    <n v="1.4"/>
    <n v="1"/>
    <n v="1"/>
    <n v="2"/>
    <n v="0"/>
    <x v="0"/>
    <x v="0"/>
    <x v="3"/>
    <s v="High"/>
    <x v="0"/>
    <x v="1"/>
    <x v="2"/>
  </r>
  <r>
    <n v="45"/>
    <x v="0"/>
    <n v="3"/>
    <n v="110"/>
    <n v="264"/>
    <n v="0"/>
    <n v="1"/>
    <n v="132"/>
    <n v="0"/>
    <n v="1.2"/>
    <n v="1"/>
    <n v="0"/>
    <n v="3"/>
    <n v="0"/>
    <x v="0"/>
    <x v="0"/>
    <x v="3"/>
    <s v="Normal"/>
    <x v="0"/>
    <x v="1"/>
    <x v="3"/>
  </r>
  <r>
    <n v="49"/>
    <x v="0"/>
    <n v="1"/>
    <n v="130"/>
    <n v="266"/>
    <n v="0"/>
    <n v="1"/>
    <n v="171"/>
    <n v="0"/>
    <n v="0.6"/>
    <n v="2"/>
    <n v="0"/>
    <n v="2"/>
    <n v="1"/>
    <x v="0"/>
    <x v="1"/>
    <x v="1"/>
    <s v="Normal"/>
    <x v="0"/>
    <x v="2"/>
    <x v="2"/>
  </r>
  <r>
    <n v="45"/>
    <x v="1"/>
    <n v="1"/>
    <n v="130"/>
    <n v="234"/>
    <n v="0"/>
    <n v="0"/>
    <n v="175"/>
    <n v="0"/>
    <n v="0.6"/>
    <n v="1"/>
    <n v="0"/>
    <n v="2"/>
    <n v="1"/>
    <x v="1"/>
    <x v="1"/>
    <x v="1"/>
    <s v="Normal"/>
    <x v="0"/>
    <x v="2"/>
    <x v="2"/>
  </r>
  <r>
    <n v="61"/>
    <x v="0"/>
    <n v="0"/>
    <n v="138"/>
    <n v="166"/>
    <n v="0"/>
    <n v="0"/>
    <n v="125"/>
    <n v="1"/>
    <n v="3.6"/>
    <n v="1"/>
    <n v="1"/>
    <n v="2"/>
    <n v="0"/>
    <x v="0"/>
    <x v="0"/>
    <x v="0"/>
    <s v="Normal"/>
    <x v="1"/>
    <x v="2"/>
    <x v="2"/>
  </r>
  <r>
    <n v="52"/>
    <x v="0"/>
    <n v="0"/>
    <n v="125"/>
    <n v="212"/>
    <n v="0"/>
    <n v="1"/>
    <n v="168"/>
    <n v="0"/>
    <n v="1"/>
    <n v="2"/>
    <n v="2"/>
    <n v="3"/>
    <n v="0"/>
    <x v="0"/>
    <x v="0"/>
    <x v="0"/>
    <s v="Normal"/>
    <x v="0"/>
    <x v="1"/>
    <x v="0"/>
  </r>
  <r>
    <n v="53"/>
    <x v="1"/>
    <n v="0"/>
    <n v="130"/>
    <n v="264"/>
    <n v="0"/>
    <n v="0"/>
    <n v="143"/>
    <n v="0"/>
    <n v="0.4"/>
    <n v="1"/>
    <n v="0"/>
    <n v="2"/>
    <n v="1"/>
    <x v="1"/>
    <x v="1"/>
    <x v="0"/>
    <s v="Normal"/>
    <x v="0"/>
    <x v="0"/>
    <x v="2"/>
  </r>
  <r>
    <n v="59"/>
    <x v="1"/>
    <n v="0"/>
    <n v="174"/>
    <n v="249"/>
    <n v="0"/>
    <n v="1"/>
    <n v="143"/>
    <n v="1"/>
    <n v="0"/>
    <n v="1"/>
    <n v="0"/>
    <n v="2"/>
    <n v="0"/>
    <x v="1"/>
    <x v="0"/>
    <x v="0"/>
    <s v="Normal"/>
    <x v="1"/>
    <x v="0"/>
    <x v="1"/>
  </r>
  <r>
    <n v="58"/>
    <x v="1"/>
    <n v="2"/>
    <n v="120"/>
    <n v="340"/>
    <n v="0"/>
    <n v="1"/>
    <n v="172"/>
    <n v="0"/>
    <n v="0"/>
    <n v="2"/>
    <n v="0"/>
    <n v="2"/>
    <n v="1"/>
    <x v="1"/>
    <x v="1"/>
    <x v="2"/>
    <s v="Normal"/>
    <x v="0"/>
    <x v="0"/>
    <x v="0"/>
  </r>
  <r>
    <n v="65"/>
    <x v="0"/>
    <n v="3"/>
    <n v="138"/>
    <n v="282"/>
    <n v="1"/>
    <n v="0"/>
    <n v="174"/>
    <n v="0"/>
    <n v="1.4"/>
    <n v="1"/>
    <n v="1"/>
    <n v="2"/>
    <n v="0"/>
    <x v="0"/>
    <x v="0"/>
    <x v="3"/>
    <s v="High"/>
    <x v="0"/>
    <x v="0"/>
    <x v="2"/>
  </r>
  <r>
    <n v="58"/>
    <x v="1"/>
    <n v="0"/>
    <n v="130"/>
    <n v="197"/>
    <n v="0"/>
    <n v="1"/>
    <n v="131"/>
    <n v="0"/>
    <n v="0.6"/>
    <n v="1"/>
    <n v="0"/>
    <n v="2"/>
    <n v="1"/>
    <x v="1"/>
    <x v="1"/>
    <x v="0"/>
    <s v="Normal"/>
    <x v="0"/>
    <x v="1"/>
    <x v="2"/>
  </r>
  <r>
    <n v="46"/>
    <x v="1"/>
    <n v="0"/>
    <n v="138"/>
    <n v="243"/>
    <n v="0"/>
    <n v="0"/>
    <n v="152"/>
    <n v="1"/>
    <n v="0"/>
    <n v="1"/>
    <n v="0"/>
    <n v="2"/>
    <n v="1"/>
    <x v="1"/>
    <x v="1"/>
    <x v="0"/>
    <s v="Normal"/>
    <x v="1"/>
    <x v="0"/>
    <x v="2"/>
  </r>
  <r>
    <n v="56"/>
    <x v="1"/>
    <n v="0"/>
    <n v="134"/>
    <n v="409"/>
    <n v="0"/>
    <n v="0"/>
    <n v="150"/>
    <n v="1"/>
    <n v="1.9"/>
    <n v="1"/>
    <n v="2"/>
    <n v="3"/>
    <n v="0"/>
    <x v="1"/>
    <x v="0"/>
    <x v="0"/>
    <s v="Normal"/>
    <x v="1"/>
    <x v="2"/>
    <x v="2"/>
  </r>
  <r>
    <n v="64"/>
    <x v="0"/>
    <n v="0"/>
    <n v="128"/>
    <n v="263"/>
    <n v="0"/>
    <n v="1"/>
    <n v="105"/>
    <n v="1"/>
    <n v="0.2"/>
    <n v="1"/>
    <n v="1"/>
    <n v="3"/>
    <n v="1"/>
    <x v="0"/>
    <x v="1"/>
    <x v="0"/>
    <s v="Normal"/>
    <x v="1"/>
    <x v="0"/>
    <x v="0"/>
  </r>
  <r>
    <n v="65"/>
    <x v="0"/>
    <n v="0"/>
    <n v="120"/>
    <n v="177"/>
    <n v="0"/>
    <n v="1"/>
    <n v="140"/>
    <n v="0"/>
    <n v="0.4"/>
    <n v="2"/>
    <n v="0"/>
    <n v="3"/>
    <n v="1"/>
    <x v="0"/>
    <x v="1"/>
    <x v="0"/>
    <s v="Normal"/>
    <x v="0"/>
    <x v="1"/>
    <x v="0"/>
  </r>
  <r>
    <n v="44"/>
    <x v="0"/>
    <n v="2"/>
    <n v="120"/>
    <n v="226"/>
    <n v="0"/>
    <n v="1"/>
    <n v="169"/>
    <n v="0"/>
    <n v="0"/>
    <n v="2"/>
    <n v="0"/>
    <n v="2"/>
    <n v="1"/>
    <x v="0"/>
    <x v="1"/>
    <x v="2"/>
    <s v="Normal"/>
    <x v="0"/>
    <x v="1"/>
    <x v="0"/>
  </r>
  <r>
    <n v="50"/>
    <x v="0"/>
    <n v="0"/>
    <n v="150"/>
    <n v="243"/>
    <n v="0"/>
    <n v="0"/>
    <n v="128"/>
    <n v="0"/>
    <n v="2.6"/>
    <n v="1"/>
    <n v="0"/>
    <n v="3"/>
    <n v="0"/>
    <x v="0"/>
    <x v="0"/>
    <x v="0"/>
    <s v="Normal"/>
    <x v="0"/>
    <x v="2"/>
    <x v="1"/>
  </r>
  <r>
    <n v="47"/>
    <x v="0"/>
    <n v="2"/>
    <n v="108"/>
    <n v="243"/>
    <n v="0"/>
    <n v="1"/>
    <n v="152"/>
    <n v="0"/>
    <n v="0"/>
    <n v="2"/>
    <n v="0"/>
    <n v="2"/>
    <n v="0"/>
    <x v="0"/>
    <x v="0"/>
    <x v="2"/>
    <s v="Normal"/>
    <x v="0"/>
    <x v="0"/>
    <x v="3"/>
  </r>
  <r>
    <n v="64"/>
    <x v="1"/>
    <n v="0"/>
    <n v="130"/>
    <n v="303"/>
    <n v="0"/>
    <n v="1"/>
    <n v="122"/>
    <n v="0"/>
    <n v="2"/>
    <n v="1"/>
    <n v="2"/>
    <n v="2"/>
    <n v="1"/>
    <x v="1"/>
    <x v="1"/>
    <x v="0"/>
    <s v="Normal"/>
    <x v="0"/>
    <x v="2"/>
    <x v="2"/>
  </r>
  <r>
    <n v="71"/>
    <x v="1"/>
    <n v="0"/>
    <n v="112"/>
    <n v="149"/>
    <n v="0"/>
    <n v="1"/>
    <n v="125"/>
    <n v="0"/>
    <n v="1.6"/>
    <n v="1"/>
    <n v="0"/>
    <n v="2"/>
    <n v="1"/>
    <x v="1"/>
    <x v="1"/>
    <x v="0"/>
    <s v="Normal"/>
    <x v="0"/>
    <x v="1"/>
    <x v="3"/>
  </r>
  <r>
    <n v="45"/>
    <x v="1"/>
    <n v="1"/>
    <n v="130"/>
    <n v="234"/>
    <n v="0"/>
    <n v="0"/>
    <n v="175"/>
    <n v="0"/>
    <n v="0.6"/>
    <n v="1"/>
    <n v="0"/>
    <n v="2"/>
    <n v="1"/>
    <x v="1"/>
    <x v="1"/>
    <x v="1"/>
    <s v="Normal"/>
    <x v="0"/>
    <x v="1"/>
    <x v="2"/>
  </r>
  <r>
    <n v="62"/>
    <x v="0"/>
    <n v="0"/>
    <n v="120"/>
    <n v="267"/>
    <n v="0"/>
    <n v="1"/>
    <n v="99"/>
    <n v="1"/>
    <n v="1.8"/>
    <n v="1"/>
    <n v="2"/>
    <n v="3"/>
    <n v="0"/>
    <x v="0"/>
    <x v="0"/>
    <x v="0"/>
    <s v="Normal"/>
    <x v="1"/>
    <x v="2"/>
    <x v="0"/>
  </r>
  <r>
    <n v="41"/>
    <x v="0"/>
    <n v="1"/>
    <n v="120"/>
    <n v="157"/>
    <n v="0"/>
    <n v="1"/>
    <n v="182"/>
    <n v="0"/>
    <n v="0"/>
    <n v="2"/>
    <n v="0"/>
    <n v="2"/>
    <n v="1"/>
    <x v="0"/>
    <x v="1"/>
    <x v="1"/>
    <s v="Normal"/>
    <x v="0"/>
    <x v="1"/>
    <x v="0"/>
  </r>
  <r>
    <n v="66"/>
    <x v="1"/>
    <n v="3"/>
    <n v="150"/>
    <n v="226"/>
    <n v="0"/>
    <n v="1"/>
    <n v="114"/>
    <n v="0"/>
    <n v="2.6"/>
    <n v="0"/>
    <n v="0"/>
    <n v="2"/>
    <n v="1"/>
    <x v="1"/>
    <x v="1"/>
    <x v="3"/>
    <s v="Normal"/>
    <x v="0"/>
    <x v="2"/>
    <x v="1"/>
  </r>
  <r>
    <n v="56"/>
    <x v="0"/>
    <n v="0"/>
    <n v="130"/>
    <n v="283"/>
    <n v="1"/>
    <n v="0"/>
    <n v="103"/>
    <n v="1"/>
    <n v="1.6"/>
    <n v="0"/>
    <n v="0"/>
    <n v="3"/>
    <n v="0"/>
    <x v="0"/>
    <x v="0"/>
    <x v="0"/>
    <s v="High"/>
    <x v="1"/>
    <x v="1"/>
    <x v="2"/>
  </r>
  <r>
    <n v="41"/>
    <x v="1"/>
    <n v="1"/>
    <n v="126"/>
    <n v="306"/>
    <n v="0"/>
    <n v="1"/>
    <n v="163"/>
    <n v="0"/>
    <n v="0"/>
    <n v="2"/>
    <n v="0"/>
    <n v="2"/>
    <n v="1"/>
    <x v="1"/>
    <x v="1"/>
    <x v="1"/>
    <s v="Normal"/>
    <x v="0"/>
    <x v="0"/>
    <x v="0"/>
  </r>
  <r>
    <n v="41"/>
    <x v="0"/>
    <n v="1"/>
    <n v="110"/>
    <n v="235"/>
    <n v="0"/>
    <n v="1"/>
    <n v="153"/>
    <n v="0"/>
    <n v="0"/>
    <n v="2"/>
    <n v="0"/>
    <n v="2"/>
    <n v="1"/>
    <x v="0"/>
    <x v="1"/>
    <x v="1"/>
    <s v="Normal"/>
    <x v="0"/>
    <x v="2"/>
    <x v="3"/>
  </r>
  <r>
    <n v="57"/>
    <x v="1"/>
    <n v="1"/>
    <n v="130"/>
    <n v="236"/>
    <n v="0"/>
    <n v="0"/>
    <n v="174"/>
    <n v="0"/>
    <n v="0"/>
    <n v="1"/>
    <n v="1"/>
    <n v="2"/>
    <n v="0"/>
    <x v="1"/>
    <x v="0"/>
    <x v="1"/>
    <s v="Normal"/>
    <x v="0"/>
    <x v="2"/>
    <x v="2"/>
  </r>
  <r>
    <n v="39"/>
    <x v="1"/>
    <n v="2"/>
    <n v="138"/>
    <n v="220"/>
    <n v="0"/>
    <n v="1"/>
    <n v="152"/>
    <n v="0"/>
    <n v="0"/>
    <n v="1"/>
    <n v="0"/>
    <n v="2"/>
    <n v="1"/>
    <x v="1"/>
    <x v="1"/>
    <x v="2"/>
    <s v="Normal"/>
    <x v="0"/>
    <x v="0"/>
    <x v="2"/>
  </r>
  <r>
    <n v="64"/>
    <x v="0"/>
    <n v="2"/>
    <n v="125"/>
    <n v="309"/>
    <n v="0"/>
    <n v="1"/>
    <n v="131"/>
    <n v="1"/>
    <n v="1.8"/>
    <n v="1"/>
    <n v="0"/>
    <n v="3"/>
    <n v="0"/>
    <x v="0"/>
    <x v="0"/>
    <x v="2"/>
    <s v="Normal"/>
    <x v="1"/>
    <x v="3"/>
    <x v="0"/>
  </r>
  <r>
    <n v="59"/>
    <x v="0"/>
    <n v="0"/>
    <n v="138"/>
    <n v="271"/>
    <n v="0"/>
    <n v="0"/>
    <n v="182"/>
    <n v="0"/>
    <n v="0"/>
    <n v="2"/>
    <n v="0"/>
    <n v="2"/>
    <n v="1"/>
    <x v="0"/>
    <x v="1"/>
    <x v="0"/>
    <s v="Normal"/>
    <x v="0"/>
    <x v="1"/>
    <x v="2"/>
  </r>
  <r>
    <n v="61"/>
    <x v="0"/>
    <n v="0"/>
    <n v="138"/>
    <n v="166"/>
    <n v="0"/>
    <n v="0"/>
    <n v="125"/>
    <n v="1"/>
    <n v="3.6"/>
    <n v="1"/>
    <n v="1"/>
    <n v="2"/>
    <n v="0"/>
    <x v="0"/>
    <x v="0"/>
    <x v="0"/>
    <s v="Normal"/>
    <x v="1"/>
    <x v="0"/>
    <x v="2"/>
  </r>
  <r>
    <n v="58"/>
    <x v="0"/>
    <n v="0"/>
    <n v="114"/>
    <n v="318"/>
    <n v="0"/>
    <n v="2"/>
    <n v="140"/>
    <n v="0"/>
    <n v="4.4000000000000004"/>
    <n v="0"/>
    <n v="3"/>
    <n v="1"/>
    <n v="0"/>
    <x v="0"/>
    <x v="0"/>
    <x v="0"/>
    <s v="Normal"/>
    <x v="0"/>
    <x v="1"/>
    <x v="3"/>
  </r>
  <r>
    <n v="47"/>
    <x v="0"/>
    <n v="0"/>
    <n v="112"/>
    <n v="204"/>
    <n v="0"/>
    <n v="1"/>
    <n v="143"/>
    <n v="0"/>
    <n v="0.1"/>
    <n v="2"/>
    <n v="0"/>
    <n v="2"/>
    <n v="1"/>
    <x v="0"/>
    <x v="1"/>
    <x v="0"/>
    <s v="Normal"/>
    <x v="0"/>
    <x v="0"/>
    <x v="3"/>
  </r>
  <r>
    <n v="58"/>
    <x v="1"/>
    <n v="0"/>
    <n v="100"/>
    <n v="248"/>
    <n v="0"/>
    <n v="0"/>
    <n v="122"/>
    <n v="0"/>
    <n v="1"/>
    <n v="1"/>
    <n v="0"/>
    <n v="2"/>
    <n v="1"/>
    <x v="1"/>
    <x v="1"/>
    <x v="0"/>
    <s v="Normal"/>
    <x v="0"/>
    <x v="2"/>
    <x v="3"/>
  </r>
  <r>
    <n v="66"/>
    <x v="1"/>
    <n v="3"/>
    <n v="150"/>
    <n v="226"/>
    <n v="0"/>
    <n v="1"/>
    <n v="114"/>
    <n v="0"/>
    <n v="2.6"/>
    <n v="0"/>
    <n v="0"/>
    <n v="2"/>
    <n v="1"/>
    <x v="1"/>
    <x v="1"/>
    <x v="3"/>
    <s v="Normal"/>
    <x v="0"/>
    <x v="0"/>
    <x v="1"/>
  </r>
  <r>
    <n v="65"/>
    <x v="1"/>
    <n v="2"/>
    <n v="140"/>
    <n v="417"/>
    <n v="1"/>
    <n v="0"/>
    <n v="157"/>
    <n v="0"/>
    <n v="0.8"/>
    <n v="2"/>
    <n v="1"/>
    <n v="2"/>
    <n v="1"/>
    <x v="1"/>
    <x v="1"/>
    <x v="2"/>
    <s v="High"/>
    <x v="0"/>
    <x v="1"/>
    <x v="1"/>
  </r>
  <r>
    <n v="35"/>
    <x v="0"/>
    <n v="1"/>
    <n v="122"/>
    <n v="192"/>
    <n v="0"/>
    <n v="1"/>
    <n v="174"/>
    <n v="0"/>
    <n v="0"/>
    <n v="2"/>
    <n v="0"/>
    <n v="2"/>
    <n v="1"/>
    <x v="0"/>
    <x v="1"/>
    <x v="1"/>
    <s v="Normal"/>
    <x v="0"/>
    <x v="1"/>
    <x v="0"/>
  </r>
  <r>
    <n v="57"/>
    <x v="0"/>
    <n v="1"/>
    <n v="124"/>
    <n v="261"/>
    <n v="0"/>
    <n v="1"/>
    <n v="141"/>
    <n v="0"/>
    <n v="0.3"/>
    <n v="2"/>
    <n v="0"/>
    <n v="3"/>
    <n v="0"/>
    <x v="0"/>
    <x v="0"/>
    <x v="1"/>
    <s v="Normal"/>
    <x v="0"/>
    <x v="3"/>
    <x v="0"/>
  </r>
  <r>
    <n v="29"/>
    <x v="0"/>
    <n v="1"/>
    <n v="130"/>
    <n v="204"/>
    <n v="0"/>
    <n v="0"/>
    <n v="202"/>
    <n v="0"/>
    <n v="0"/>
    <n v="2"/>
    <n v="0"/>
    <n v="2"/>
    <n v="1"/>
    <x v="0"/>
    <x v="1"/>
    <x v="1"/>
    <s v="Normal"/>
    <x v="0"/>
    <x v="0"/>
    <x v="2"/>
  </r>
  <r>
    <n v="66"/>
    <x v="0"/>
    <n v="1"/>
    <n v="160"/>
    <n v="246"/>
    <n v="0"/>
    <n v="1"/>
    <n v="120"/>
    <n v="1"/>
    <n v="0"/>
    <n v="1"/>
    <n v="3"/>
    <n v="1"/>
    <n v="0"/>
    <x v="0"/>
    <x v="0"/>
    <x v="1"/>
    <s v="Normal"/>
    <x v="1"/>
    <x v="4"/>
    <x v="1"/>
  </r>
  <r>
    <n v="61"/>
    <x v="1"/>
    <n v="0"/>
    <n v="130"/>
    <n v="330"/>
    <n v="0"/>
    <n v="0"/>
    <n v="169"/>
    <n v="0"/>
    <n v="0"/>
    <n v="2"/>
    <n v="0"/>
    <n v="2"/>
    <n v="0"/>
    <x v="1"/>
    <x v="0"/>
    <x v="0"/>
    <s v="Normal"/>
    <x v="0"/>
    <x v="1"/>
    <x v="2"/>
  </r>
  <r>
    <n v="52"/>
    <x v="0"/>
    <n v="0"/>
    <n v="125"/>
    <n v="212"/>
    <n v="0"/>
    <n v="1"/>
    <n v="168"/>
    <n v="0"/>
    <n v="1"/>
    <n v="2"/>
    <n v="2"/>
    <n v="3"/>
    <n v="0"/>
    <x v="0"/>
    <x v="0"/>
    <x v="0"/>
    <s v="Normal"/>
    <x v="0"/>
    <x v="1"/>
    <x v="0"/>
  </r>
  <r>
    <n v="68"/>
    <x v="0"/>
    <n v="2"/>
    <n v="118"/>
    <n v="277"/>
    <n v="0"/>
    <n v="1"/>
    <n v="151"/>
    <n v="0"/>
    <n v="1"/>
    <n v="2"/>
    <n v="1"/>
    <n v="3"/>
    <n v="1"/>
    <x v="0"/>
    <x v="1"/>
    <x v="2"/>
    <s v="Normal"/>
    <x v="0"/>
    <x v="0"/>
    <x v="3"/>
  </r>
  <r>
    <n v="54"/>
    <x v="0"/>
    <n v="2"/>
    <n v="120"/>
    <n v="258"/>
    <n v="0"/>
    <n v="0"/>
    <n v="147"/>
    <n v="0"/>
    <n v="0.4"/>
    <n v="1"/>
    <n v="0"/>
    <n v="3"/>
    <n v="1"/>
    <x v="0"/>
    <x v="1"/>
    <x v="2"/>
    <s v="Normal"/>
    <x v="0"/>
    <x v="1"/>
    <x v="0"/>
  </r>
  <r>
    <n v="63"/>
    <x v="0"/>
    <n v="0"/>
    <n v="130"/>
    <n v="330"/>
    <n v="1"/>
    <n v="0"/>
    <n v="132"/>
    <n v="1"/>
    <n v="1.8"/>
    <n v="2"/>
    <n v="3"/>
    <n v="3"/>
    <n v="0"/>
    <x v="0"/>
    <x v="0"/>
    <x v="0"/>
    <s v="High"/>
    <x v="1"/>
    <x v="0"/>
    <x v="2"/>
  </r>
  <r>
    <n v="58"/>
    <x v="0"/>
    <n v="0"/>
    <n v="100"/>
    <n v="234"/>
    <n v="0"/>
    <n v="1"/>
    <n v="156"/>
    <n v="0"/>
    <n v="0.1"/>
    <n v="2"/>
    <n v="1"/>
    <n v="3"/>
    <n v="0"/>
    <x v="0"/>
    <x v="0"/>
    <x v="0"/>
    <s v="Normal"/>
    <x v="0"/>
    <x v="1"/>
    <x v="3"/>
  </r>
  <r>
    <n v="60"/>
    <x v="0"/>
    <n v="0"/>
    <n v="130"/>
    <n v="253"/>
    <n v="0"/>
    <n v="1"/>
    <n v="144"/>
    <n v="1"/>
    <n v="1.4"/>
    <n v="2"/>
    <n v="1"/>
    <n v="3"/>
    <n v="0"/>
    <x v="0"/>
    <x v="0"/>
    <x v="0"/>
    <s v="Normal"/>
    <x v="1"/>
    <x v="0"/>
    <x v="2"/>
  </r>
  <r>
    <n v="63"/>
    <x v="0"/>
    <n v="0"/>
    <n v="130"/>
    <n v="254"/>
    <n v="0"/>
    <n v="0"/>
    <n v="147"/>
    <n v="0"/>
    <n v="1.4"/>
    <n v="1"/>
    <n v="1"/>
    <n v="3"/>
    <n v="0"/>
    <x v="0"/>
    <x v="0"/>
    <x v="0"/>
    <s v="Normal"/>
    <x v="0"/>
    <x v="1"/>
    <x v="2"/>
  </r>
  <r>
    <n v="41"/>
    <x v="1"/>
    <n v="2"/>
    <n v="112"/>
    <n v="268"/>
    <n v="0"/>
    <n v="0"/>
    <n v="172"/>
    <n v="1"/>
    <n v="0"/>
    <n v="2"/>
    <n v="0"/>
    <n v="2"/>
    <n v="1"/>
    <x v="1"/>
    <x v="1"/>
    <x v="2"/>
    <s v="Normal"/>
    <x v="1"/>
    <x v="1"/>
    <x v="3"/>
  </r>
  <r>
    <n v="68"/>
    <x v="0"/>
    <n v="2"/>
    <n v="180"/>
    <n v="274"/>
    <n v="1"/>
    <n v="0"/>
    <n v="150"/>
    <n v="1"/>
    <n v="1.6"/>
    <n v="1"/>
    <n v="0"/>
    <n v="3"/>
    <n v="0"/>
    <x v="0"/>
    <x v="0"/>
    <x v="2"/>
    <s v="High"/>
    <x v="1"/>
    <x v="2"/>
    <x v="1"/>
  </r>
  <r>
    <n v="42"/>
    <x v="0"/>
    <n v="1"/>
    <n v="120"/>
    <n v="295"/>
    <n v="0"/>
    <n v="1"/>
    <n v="162"/>
    <n v="0"/>
    <n v="0"/>
    <n v="2"/>
    <n v="0"/>
    <n v="2"/>
    <n v="1"/>
    <x v="0"/>
    <x v="1"/>
    <x v="1"/>
    <s v="Normal"/>
    <x v="0"/>
    <x v="1"/>
    <x v="0"/>
  </r>
  <r>
    <n v="59"/>
    <x v="0"/>
    <n v="0"/>
    <n v="170"/>
    <n v="326"/>
    <n v="0"/>
    <n v="0"/>
    <n v="140"/>
    <n v="1"/>
    <n v="3.4"/>
    <n v="0"/>
    <n v="0"/>
    <n v="3"/>
    <n v="0"/>
    <x v="0"/>
    <x v="0"/>
    <x v="0"/>
    <s v="Normal"/>
    <x v="1"/>
    <x v="2"/>
    <x v="1"/>
  </r>
  <r>
    <n v="59"/>
    <x v="0"/>
    <n v="0"/>
    <n v="164"/>
    <n v="176"/>
    <n v="1"/>
    <n v="0"/>
    <n v="90"/>
    <n v="0"/>
    <n v="1"/>
    <n v="1"/>
    <n v="2"/>
    <n v="1"/>
    <n v="0"/>
    <x v="0"/>
    <x v="0"/>
    <x v="0"/>
    <s v="High"/>
    <x v="0"/>
    <x v="0"/>
    <x v="1"/>
  </r>
  <r>
    <n v="43"/>
    <x v="0"/>
    <n v="0"/>
    <n v="120"/>
    <n v="177"/>
    <n v="0"/>
    <n v="0"/>
    <n v="120"/>
    <n v="1"/>
    <n v="2.5"/>
    <n v="1"/>
    <n v="0"/>
    <n v="3"/>
    <n v="0"/>
    <x v="0"/>
    <x v="0"/>
    <x v="0"/>
    <s v="Normal"/>
    <x v="1"/>
    <x v="0"/>
    <x v="0"/>
  </r>
  <r>
    <n v="60"/>
    <x v="0"/>
    <n v="2"/>
    <n v="140"/>
    <n v="185"/>
    <n v="0"/>
    <n v="0"/>
    <n v="155"/>
    <n v="0"/>
    <n v="3"/>
    <n v="1"/>
    <n v="0"/>
    <n v="2"/>
    <n v="0"/>
    <x v="0"/>
    <x v="0"/>
    <x v="2"/>
    <s v="Normal"/>
    <x v="0"/>
    <x v="2"/>
    <x v="1"/>
  </r>
  <r>
    <n v="63"/>
    <x v="1"/>
    <n v="0"/>
    <n v="150"/>
    <n v="407"/>
    <n v="0"/>
    <n v="0"/>
    <n v="154"/>
    <n v="0"/>
    <n v="4"/>
    <n v="1"/>
    <n v="3"/>
    <n v="3"/>
    <n v="0"/>
    <x v="1"/>
    <x v="0"/>
    <x v="0"/>
    <s v="Normal"/>
    <x v="0"/>
    <x v="1"/>
    <x v="1"/>
  </r>
  <r>
    <n v="52"/>
    <x v="0"/>
    <n v="0"/>
    <n v="128"/>
    <n v="204"/>
    <n v="1"/>
    <n v="1"/>
    <n v="156"/>
    <n v="1"/>
    <n v="1"/>
    <n v="1"/>
    <n v="0"/>
    <n v="0"/>
    <n v="0"/>
    <x v="0"/>
    <x v="0"/>
    <x v="0"/>
    <s v="High"/>
    <x v="1"/>
    <x v="1"/>
    <x v="0"/>
  </r>
  <r>
    <n v="58"/>
    <x v="0"/>
    <n v="0"/>
    <n v="125"/>
    <n v="300"/>
    <n v="0"/>
    <n v="0"/>
    <n v="171"/>
    <n v="0"/>
    <n v="0"/>
    <n v="2"/>
    <n v="2"/>
    <n v="3"/>
    <n v="0"/>
    <x v="0"/>
    <x v="0"/>
    <x v="0"/>
    <s v="Normal"/>
    <x v="0"/>
    <x v="0"/>
    <x v="0"/>
  </r>
  <r>
    <n v="56"/>
    <x v="1"/>
    <n v="0"/>
    <n v="200"/>
    <n v="288"/>
    <n v="1"/>
    <n v="0"/>
    <n v="133"/>
    <n v="1"/>
    <n v="4"/>
    <n v="0"/>
    <n v="2"/>
    <n v="3"/>
    <n v="0"/>
    <x v="1"/>
    <x v="0"/>
    <x v="0"/>
    <s v="High"/>
    <x v="1"/>
    <x v="0"/>
    <x v="1"/>
  </r>
  <r>
    <n v="54"/>
    <x v="1"/>
    <n v="2"/>
    <n v="135"/>
    <n v="304"/>
    <n v="1"/>
    <n v="1"/>
    <n v="170"/>
    <n v="0"/>
    <n v="0"/>
    <n v="2"/>
    <n v="0"/>
    <n v="2"/>
    <n v="1"/>
    <x v="1"/>
    <x v="1"/>
    <x v="2"/>
    <s v="High"/>
    <x v="0"/>
    <x v="0"/>
    <x v="2"/>
  </r>
  <r>
    <n v="58"/>
    <x v="0"/>
    <n v="2"/>
    <n v="105"/>
    <n v="240"/>
    <n v="0"/>
    <n v="0"/>
    <n v="154"/>
    <n v="1"/>
    <n v="0.6"/>
    <n v="1"/>
    <n v="0"/>
    <n v="3"/>
    <n v="1"/>
    <x v="0"/>
    <x v="1"/>
    <x v="2"/>
    <s v="Normal"/>
    <x v="1"/>
    <x v="0"/>
    <x v="3"/>
  </r>
  <r>
    <n v="55"/>
    <x v="1"/>
    <n v="1"/>
    <n v="135"/>
    <n v="250"/>
    <n v="0"/>
    <n v="0"/>
    <n v="161"/>
    <n v="0"/>
    <n v="1.4"/>
    <n v="1"/>
    <n v="0"/>
    <n v="2"/>
    <n v="1"/>
    <x v="1"/>
    <x v="1"/>
    <x v="1"/>
    <s v="Normal"/>
    <x v="0"/>
    <x v="0"/>
    <x v="2"/>
  </r>
  <r>
    <n v="53"/>
    <x v="0"/>
    <n v="0"/>
    <n v="140"/>
    <n v="203"/>
    <n v="1"/>
    <n v="0"/>
    <n v="155"/>
    <n v="1"/>
    <n v="3.1"/>
    <n v="0"/>
    <n v="0"/>
    <n v="3"/>
    <n v="0"/>
    <x v="0"/>
    <x v="0"/>
    <x v="0"/>
    <s v="High"/>
    <x v="1"/>
    <x v="0"/>
    <x v="1"/>
  </r>
  <r>
    <n v="63"/>
    <x v="1"/>
    <n v="1"/>
    <n v="140"/>
    <n v="195"/>
    <n v="0"/>
    <n v="1"/>
    <n v="179"/>
    <n v="0"/>
    <n v="0"/>
    <n v="2"/>
    <n v="2"/>
    <n v="2"/>
    <n v="1"/>
    <x v="1"/>
    <x v="1"/>
    <x v="1"/>
    <s v="Normal"/>
    <x v="0"/>
    <x v="0"/>
    <x v="1"/>
  </r>
  <r>
    <n v="39"/>
    <x v="0"/>
    <n v="0"/>
    <n v="118"/>
    <n v="219"/>
    <n v="0"/>
    <n v="1"/>
    <n v="140"/>
    <n v="0"/>
    <n v="1.2"/>
    <n v="1"/>
    <n v="0"/>
    <n v="3"/>
    <n v="0"/>
    <x v="0"/>
    <x v="0"/>
    <x v="0"/>
    <s v="Normal"/>
    <x v="0"/>
    <x v="1"/>
    <x v="3"/>
  </r>
  <r>
    <n v="35"/>
    <x v="0"/>
    <n v="0"/>
    <n v="126"/>
    <n v="282"/>
    <n v="0"/>
    <n v="0"/>
    <n v="156"/>
    <n v="1"/>
    <n v="0"/>
    <n v="2"/>
    <n v="0"/>
    <n v="3"/>
    <n v="0"/>
    <x v="0"/>
    <x v="0"/>
    <x v="0"/>
    <s v="Normal"/>
    <x v="1"/>
    <x v="3"/>
    <x v="0"/>
  </r>
  <r>
    <n v="50"/>
    <x v="1"/>
    <n v="2"/>
    <n v="120"/>
    <n v="219"/>
    <n v="0"/>
    <n v="1"/>
    <n v="158"/>
    <n v="0"/>
    <n v="1.6"/>
    <n v="1"/>
    <n v="0"/>
    <n v="2"/>
    <n v="1"/>
    <x v="1"/>
    <x v="1"/>
    <x v="2"/>
    <s v="Normal"/>
    <x v="0"/>
    <x v="3"/>
    <x v="0"/>
  </r>
  <r>
    <n v="67"/>
    <x v="0"/>
    <n v="2"/>
    <n v="152"/>
    <n v="212"/>
    <n v="0"/>
    <n v="0"/>
    <n v="150"/>
    <n v="0"/>
    <n v="0.8"/>
    <n v="1"/>
    <n v="0"/>
    <n v="3"/>
    <n v="0"/>
    <x v="0"/>
    <x v="0"/>
    <x v="2"/>
    <s v="Normal"/>
    <x v="0"/>
    <x v="0"/>
    <x v="1"/>
  </r>
  <r>
    <n v="66"/>
    <x v="0"/>
    <n v="0"/>
    <n v="112"/>
    <n v="212"/>
    <n v="0"/>
    <n v="0"/>
    <n v="132"/>
    <n v="1"/>
    <n v="0.1"/>
    <n v="2"/>
    <n v="1"/>
    <n v="2"/>
    <n v="0"/>
    <x v="0"/>
    <x v="0"/>
    <x v="0"/>
    <s v="Normal"/>
    <x v="1"/>
    <x v="1"/>
    <x v="3"/>
  </r>
  <r>
    <n v="35"/>
    <x v="0"/>
    <n v="0"/>
    <n v="126"/>
    <n v="282"/>
    <n v="0"/>
    <n v="0"/>
    <n v="156"/>
    <n v="1"/>
    <n v="0"/>
    <n v="2"/>
    <n v="0"/>
    <n v="3"/>
    <n v="0"/>
    <x v="0"/>
    <x v="0"/>
    <x v="0"/>
    <s v="Normal"/>
    <x v="1"/>
    <x v="1"/>
    <x v="0"/>
  </r>
  <r>
    <n v="41"/>
    <x v="0"/>
    <n v="2"/>
    <n v="130"/>
    <n v="214"/>
    <n v="0"/>
    <n v="0"/>
    <n v="168"/>
    <n v="0"/>
    <n v="2"/>
    <n v="1"/>
    <n v="0"/>
    <n v="2"/>
    <n v="1"/>
    <x v="0"/>
    <x v="1"/>
    <x v="2"/>
    <s v="Normal"/>
    <x v="0"/>
    <x v="3"/>
    <x v="2"/>
  </r>
  <r>
    <n v="35"/>
    <x v="0"/>
    <n v="0"/>
    <n v="120"/>
    <n v="198"/>
    <n v="0"/>
    <n v="1"/>
    <n v="130"/>
    <n v="1"/>
    <n v="1.6"/>
    <n v="1"/>
    <n v="0"/>
    <n v="3"/>
    <n v="0"/>
    <x v="0"/>
    <x v="0"/>
    <x v="0"/>
    <s v="Normal"/>
    <x v="1"/>
    <x v="2"/>
    <x v="0"/>
  </r>
  <r>
    <n v="71"/>
    <x v="1"/>
    <n v="1"/>
    <n v="160"/>
    <n v="302"/>
    <n v="0"/>
    <n v="1"/>
    <n v="162"/>
    <n v="0"/>
    <n v="0.4"/>
    <n v="2"/>
    <n v="2"/>
    <n v="2"/>
    <n v="1"/>
    <x v="1"/>
    <x v="1"/>
    <x v="1"/>
    <s v="Normal"/>
    <x v="0"/>
    <x v="3"/>
    <x v="1"/>
  </r>
  <r>
    <n v="57"/>
    <x v="0"/>
    <n v="0"/>
    <n v="110"/>
    <n v="201"/>
    <n v="0"/>
    <n v="1"/>
    <n v="126"/>
    <n v="1"/>
    <n v="1.5"/>
    <n v="1"/>
    <n v="0"/>
    <n v="1"/>
    <n v="1"/>
    <x v="0"/>
    <x v="1"/>
    <x v="0"/>
    <s v="Normal"/>
    <x v="1"/>
    <x v="1"/>
    <x v="3"/>
  </r>
  <r>
    <n v="51"/>
    <x v="0"/>
    <n v="2"/>
    <n v="94"/>
    <n v="227"/>
    <n v="0"/>
    <n v="1"/>
    <n v="154"/>
    <n v="1"/>
    <n v="0"/>
    <n v="2"/>
    <n v="1"/>
    <n v="3"/>
    <n v="1"/>
    <x v="0"/>
    <x v="1"/>
    <x v="2"/>
    <s v="Normal"/>
    <x v="1"/>
    <x v="0"/>
    <x v="3"/>
  </r>
  <r>
    <n v="58"/>
    <x v="0"/>
    <n v="0"/>
    <n v="128"/>
    <n v="216"/>
    <n v="0"/>
    <n v="0"/>
    <n v="131"/>
    <n v="1"/>
    <n v="2.2000000000000002"/>
    <n v="1"/>
    <n v="3"/>
    <n v="3"/>
    <n v="0"/>
    <x v="0"/>
    <x v="0"/>
    <x v="0"/>
    <s v="Normal"/>
    <x v="1"/>
    <x v="0"/>
    <x v="0"/>
  </r>
  <r>
    <n v="57"/>
    <x v="0"/>
    <n v="2"/>
    <n v="128"/>
    <n v="229"/>
    <n v="0"/>
    <n v="0"/>
    <n v="150"/>
    <n v="0"/>
    <n v="0.4"/>
    <n v="1"/>
    <n v="1"/>
    <n v="3"/>
    <n v="0"/>
    <x v="0"/>
    <x v="0"/>
    <x v="2"/>
    <s v="Normal"/>
    <x v="0"/>
    <x v="0"/>
    <x v="0"/>
  </r>
  <r>
    <n v="56"/>
    <x v="1"/>
    <n v="1"/>
    <n v="140"/>
    <n v="294"/>
    <n v="0"/>
    <n v="0"/>
    <n v="153"/>
    <n v="0"/>
    <n v="1.3"/>
    <n v="1"/>
    <n v="0"/>
    <n v="2"/>
    <n v="1"/>
    <x v="1"/>
    <x v="1"/>
    <x v="1"/>
    <s v="Normal"/>
    <x v="0"/>
    <x v="0"/>
    <x v="1"/>
  </r>
  <r>
    <n v="60"/>
    <x v="1"/>
    <n v="2"/>
    <n v="120"/>
    <n v="178"/>
    <n v="1"/>
    <n v="1"/>
    <n v="96"/>
    <n v="0"/>
    <n v="0"/>
    <n v="2"/>
    <n v="0"/>
    <n v="2"/>
    <n v="1"/>
    <x v="1"/>
    <x v="1"/>
    <x v="2"/>
    <s v="High"/>
    <x v="0"/>
    <x v="0"/>
    <x v="0"/>
  </r>
  <r>
    <n v="45"/>
    <x v="0"/>
    <n v="3"/>
    <n v="110"/>
    <n v="264"/>
    <n v="0"/>
    <n v="1"/>
    <n v="132"/>
    <n v="0"/>
    <n v="1.2"/>
    <n v="1"/>
    <n v="0"/>
    <n v="3"/>
    <n v="0"/>
    <x v="0"/>
    <x v="0"/>
    <x v="3"/>
    <s v="Normal"/>
    <x v="0"/>
    <x v="1"/>
    <x v="3"/>
  </r>
  <r>
    <n v="56"/>
    <x v="0"/>
    <n v="1"/>
    <n v="130"/>
    <n v="221"/>
    <n v="0"/>
    <n v="0"/>
    <n v="163"/>
    <n v="0"/>
    <n v="0"/>
    <n v="2"/>
    <n v="0"/>
    <n v="3"/>
    <n v="1"/>
    <x v="0"/>
    <x v="1"/>
    <x v="1"/>
    <s v="Normal"/>
    <x v="0"/>
    <x v="2"/>
    <x v="2"/>
  </r>
  <r>
    <n v="35"/>
    <x v="0"/>
    <n v="0"/>
    <n v="120"/>
    <n v="198"/>
    <n v="0"/>
    <n v="1"/>
    <n v="130"/>
    <n v="1"/>
    <n v="1.6"/>
    <n v="1"/>
    <n v="0"/>
    <n v="3"/>
    <n v="0"/>
    <x v="0"/>
    <x v="0"/>
    <x v="0"/>
    <s v="Normal"/>
    <x v="1"/>
    <x v="0"/>
    <x v="0"/>
  </r>
  <r>
    <n v="45"/>
    <x v="1"/>
    <n v="1"/>
    <n v="112"/>
    <n v="160"/>
    <n v="0"/>
    <n v="1"/>
    <n v="138"/>
    <n v="0"/>
    <n v="0"/>
    <n v="1"/>
    <n v="0"/>
    <n v="2"/>
    <n v="1"/>
    <x v="1"/>
    <x v="1"/>
    <x v="1"/>
    <s v="Normal"/>
    <x v="0"/>
    <x v="3"/>
    <x v="3"/>
  </r>
  <r>
    <n v="66"/>
    <x v="1"/>
    <n v="3"/>
    <n v="150"/>
    <n v="226"/>
    <n v="0"/>
    <n v="1"/>
    <n v="114"/>
    <n v="0"/>
    <n v="2.6"/>
    <n v="0"/>
    <n v="0"/>
    <n v="2"/>
    <n v="1"/>
    <x v="1"/>
    <x v="1"/>
    <x v="3"/>
    <s v="Normal"/>
    <x v="0"/>
    <x v="2"/>
    <x v="1"/>
  </r>
  <r>
    <n v="51"/>
    <x v="0"/>
    <n v="3"/>
    <n v="125"/>
    <n v="213"/>
    <n v="0"/>
    <n v="0"/>
    <n v="125"/>
    <n v="1"/>
    <n v="1.4"/>
    <n v="2"/>
    <n v="1"/>
    <n v="2"/>
    <n v="1"/>
    <x v="0"/>
    <x v="1"/>
    <x v="3"/>
    <s v="Normal"/>
    <x v="1"/>
    <x v="1"/>
    <x v="0"/>
  </r>
  <r>
    <n v="70"/>
    <x v="0"/>
    <n v="1"/>
    <n v="156"/>
    <n v="245"/>
    <n v="0"/>
    <n v="0"/>
    <n v="143"/>
    <n v="0"/>
    <n v="0"/>
    <n v="2"/>
    <n v="0"/>
    <n v="2"/>
    <n v="1"/>
    <x v="0"/>
    <x v="1"/>
    <x v="1"/>
    <s v="Normal"/>
    <x v="0"/>
    <x v="0"/>
    <x v="1"/>
  </r>
  <r>
    <n v="55"/>
    <x v="1"/>
    <n v="0"/>
    <n v="128"/>
    <n v="205"/>
    <n v="0"/>
    <n v="2"/>
    <n v="130"/>
    <n v="1"/>
    <n v="2"/>
    <n v="1"/>
    <n v="1"/>
    <n v="3"/>
    <n v="0"/>
    <x v="1"/>
    <x v="0"/>
    <x v="0"/>
    <s v="Normal"/>
    <x v="1"/>
    <x v="1"/>
    <x v="0"/>
  </r>
  <r>
    <n v="56"/>
    <x v="0"/>
    <n v="2"/>
    <n v="130"/>
    <n v="256"/>
    <n v="1"/>
    <n v="0"/>
    <n v="142"/>
    <n v="1"/>
    <n v="0.6"/>
    <n v="1"/>
    <n v="1"/>
    <n v="1"/>
    <n v="0"/>
    <x v="0"/>
    <x v="0"/>
    <x v="2"/>
    <s v="High"/>
    <x v="1"/>
    <x v="0"/>
    <x v="2"/>
  </r>
  <r>
    <n v="55"/>
    <x v="1"/>
    <n v="1"/>
    <n v="135"/>
    <n v="250"/>
    <n v="0"/>
    <n v="0"/>
    <n v="161"/>
    <n v="0"/>
    <n v="1.4"/>
    <n v="1"/>
    <n v="0"/>
    <n v="2"/>
    <n v="1"/>
    <x v="1"/>
    <x v="1"/>
    <x v="1"/>
    <s v="Normal"/>
    <x v="0"/>
    <x v="0"/>
    <x v="2"/>
  </r>
  <r>
    <n v="52"/>
    <x v="0"/>
    <n v="0"/>
    <n v="108"/>
    <n v="233"/>
    <n v="1"/>
    <n v="1"/>
    <n v="147"/>
    <n v="0"/>
    <n v="0.1"/>
    <n v="2"/>
    <n v="3"/>
    <n v="3"/>
    <n v="1"/>
    <x v="0"/>
    <x v="1"/>
    <x v="0"/>
    <s v="High"/>
    <x v="0"/>
    <x v="0"/>
    <x v="3"/>
  </r>
  <r>
    <n v="64"/>
    <x v="0"/>
    <n v="2"/>
    <n v="140"/>
    <n v="335"/>
    <n v="0"/>
    <n v="1"/>
    <n v="158"/>
    <n v="0"/>
    <n v="0"/>
    <n v="2"/>
    <n v="0"/>
    <n v="2"/>
    <n v="0"/>
    <x v="0"/>
    <x v="0"/>
    <x v="2"/>
    <s v="Normal"/>
    <x v="0"/>
    <x v="0"/>
    <x v="1"/>
  </r>
  <r>
    <n v="45"/>
    <x v="0"/>
    <n v="0"/>
    <n v="115"/>
    <n v="260"/>
    <n v="0"/>
    <n v="0"/>
    <n v="185"/>
    <n v="0"/>
    <n v="0"/>
    <n v="2"/>
    <n v="0"/>
    <n v="2"/>
    <n v="1"/>
    <x v="0"/>
    <x v="1"/>
    <x v="0"/>
    <s v="Normal"/>
    <x v="0"/>
    <x v="1"/>
    <x v="3"/>
  </r>
  <r>
    <n v="67"/>
    <x v="1"/>
    <n v="2"/>
    <n v="152"/>
    <n v="277"/>
    <n v="0"/>
    <n v="1"/>
    <n v="172"/>
    <n v="0"/>
    <n v="0"/>
    <n v="2"/>
    <n v="1"/>
    <n v="2"/>
    <n v="1"/>
    <x v="1"/>
    <x v="1"/>
    <x v="2"/>
    <s v="Normal"/>
    <x v="0"/>
    <x v="2"/>
    <x v="1"/>
  </r>
  <r>
    <n v="68"/>
    <x v="1"/>
    <n v="2"/>
    <n v="120"/>
    <n v="211"/>
    <n v="0"/>
    <n v="0"/>
    <n v="115"/>
    <n v="0"/>
    <n v="1.5"/>
    <n v="1"/>
    <n v="0"/>
    <n v="2"/>
    <n v="1"/>
    <x v="1"/>
    <x v="1"/>
    <x v="2"/>
    <s v="Normal"/>
    <x v="0"/>
    <x v="1"/>
    <x v="0"/>
  </r>
  <r>
    <n v="74"/>
    <x v="1"/>
    <n v="1"/>
    <n v="120"/>
    <n v="269"/>
    <n v="0"/>
    <n v="0"/>
    <n v="121"/>
    <n v="1"/>
    <n v="0.2"/>
    <n v="2"/>
    <n v="1"/>
    <n v="2"/>
    <n v="1"/>
    <x v="1"/>
    <x v="1"/>
    <x v="1"/>
    <s v="Normal"/>
    <x v="1"/>
    <x v="1"/>
    <x v="0"/>
  </r>
  <r>
    <n v="60"/>
    <x v="1"/>
    <n v="0"/>
    <n v="150"/>
    <n v="258"/>
    <n v="0"/>
    <n v="0"/>
    <n v="157"/>
    <n v="0"/>
    <n v="2.6"/>
    <n v="1"/>
    <n v="2"/>
    <n v="3"/>
    <n v="0"/>
    <x v="1"/>
    <x v="0"/>
    <x v="0"/>
    <s v="Normal"/>
    <x v="0"/>
    <x v="1"/>
    <x v="1"/>
  </r>
  <r>
    <n v="48"/>
    <x v="0"/>
    <n v="0"/>
    <n v="124"/>
    <n v="274"/>
    <n v="0"/>
    <n v="0"/>
    <n v="166"/>
    <n v="0"/>
    <n v="0.5"/>
    <n v="1"/>
    <n v="0"/>
    <n v="3"/>
    <n v="0"/>
    <x v="0"/>
    <x v="0"/>
    <x v="0"/>
    <s v="Normal"/>
    <x v="0"/>
    <x v="1"/>
    <x v="0"/>
  </r>
  <r>
    <n v="56"/>
    <x v="0"/>
    <n v="1"/>
    <n v="130"/>
    <n v="221"/>
    <n v="0"/>
    <n v="0"/>
    <n v="163"/>
    <n v="0"/>
    <n v="0"/>
    <n v="2"/>
    <n v="0"/>
    <n v="3"/>
    <n v="1"/>
    <x v="0"/>
    <x v="1"/>
    <x v="1"/>
    <s v="Normal"/>
    <x v="0"/>
    <x v="2"/>
    <x v="2"/>
  </r>
  <r>
    <n v="46"/>
    <x v="0"/>
    <n v="0"/>
    <n v="140"/>
    <n v="311"/>
    <n v="0"/>
    <n v="1"/>
    <n v="120"/>
    <n v="1"/>
    <n v="1.8"/>
    <n v="1"/>
    <n v="2"/>
    <n v="3"/>
    <n v="0"/>
    <x v="0"/>
    <x v="0"/>
    <x v="0"/>
    <s v="Normal"/>
    <x v="1"/>
    <x v="0"/>
    <x v="1"/>
  </r>
  <r>
    <n v="55"/>
    <x v="1"/>
    <n v="1"/>
    <n v="135"/>
    <n v="250"/>
    <n v="0"/>
    <n v="0"/>
    <n v="161"/>
    <n v="0"/>
    <n v="1.4"/>
    <n v="1"/>
    <n v="0"/>
    <n v="2"/>
    <n v="1"/>
    <x v="1"/>
    <x v="1"/>
    <x v="1"/>
    <s v="Normal"/>
    <x v="0"/>
    <x v="2"/>
    <x v="2"/>
  </r>
  <r>
    <n v="44"/>
    <x v="0"/>
    <n v="1"/>
    <n v="120"/>
    <n v="220"/>
    <n v="0"/>
    <n v="1"/>
    <n v="170"/>
    <n v="0"/>
    <n v="0"/>
    <n v="2"/>
    <n v="0"/>
    <n v="2"/>
    <n v="1"/>
    <x v="0"/>
    <x v="1"/>
    <x v="1"/>
    <s v="Normal"/>
    <x v="0"/>
    <x v="0"/>
    <x v="0"/>
  </r>
  <r>
    <n v="52"/>
    <x v="0"/>
    <n v="0"/>
    <n v="112"/>
    <n v="230"/>
    <n v="0"/>
    <n v="1"/>
    <n v="160"/>
    <n v="0"/>
    <n v="0"/>
    <n v="2"/>
    <n v="1"/>
    <n v="2"/>
    <n v="0"/>
    <x v="0"/>
    <x v="0"/>
    <x v="0"/>
    <s v="Normal"/>
    <x v="0"/>
    <x v="2"/>
    <x v="3"/>
  </r>
  <r>
    <n v="51"/>
    <x v="0"/>
    <n v="2"/>
    <n v="94"/>
    <n v="227"/>
    <n v="0"/>
    <n v="1"/>
    <n v="154"/>
    <n v="1"/>
    <n v="0"/>
    <n v="2"/>
    <n v="1"/>
    <n v="3"/>
    <n v="1"/>
    <x v="0"/>
    <x v="1"/>
    <x v="2"/>
    <s v="Normal"/>
    <x v="1"/>
    <x v="0"/>
    <x v="3"/>
  </r>
  <r>
    <n v="44"/>
    <x v="1"/>
    <n v="2"/>
    <n v="108"/>
    <n v="141"/>
    <n v="0"/>
    <n v="1"/>
    <n v="175"/>
    <n v="0"/>
    <n v="0.6"/>
    <n v="1"/>
    <n v="0"/>
    <n v="2"/>
    <n v="1"/>
    <x v="1"/>
    <x v="1"/>
    <x v="2"/>
    <s v="Normal"/>
    <x v="0"/>
    <x v="0"/>
    <x v="3"/>
  </r>
  <r>
    <n v="52"/>
    <x v="0"/>
    <n v="0"/>
    <n v="128"/>
    <n v="204"/>
    <n v="1"/>
    <n v="1"/>
    <n v="156"/>
    <n v="1"/>
    <n v="1"/>
    <n v="1"/>
    <n v="0"/>
    <n v="0"/>
    <n v="0"/>
    <x v="0"/>
    <x v="0"/>
    <x v="0"/>
    <s v="High"/>
    <x v="1"/>
    <x v="2"/>
    <x v="0"/>
  </r>
  <r>
    <n v="50"/>
    <x v="0"/>
    <n v="2"/>
    <n v="129"/>
    <n v="196"/>
    <n v="0"/>
    <n v="1"/>
    <n v="163"/>
    <n v="0"/>
    <n v="0"/>
    <n v="2"/>
    <n v="0"/>
    <n v="2"/>
    <n v="1"/>
    <x v="0"/>
    <x v="1"/>
    <x v="2"/>
    <s v="Normal"/>
    <x v="0"/>
    <x v="0"/>
    <x v="0"/>
  </r>
  <r>
    <n v="59"/>
    <x v="0"/>
    <n v="0"/>
    <n v="110"/>
    <n v="239"/>
    <n v="0"/>
    <n v="0"/>
    <n v="142"/>
    <n v="1"/>
    <n v="1.2"/>
    <n v="1"/>
    <n v="1"/>
    <n v="3"/>
    <n v="0"/>
    <x v="0"/>
    <x v="0"/>
    <x v="0"/>
    <s v="Normal"/>
    <x v="1"/>
    <x v="0"/>
    <x v="3"/>
  </r>
  <r>
    <n v="67"/>
    <x v="0"/>
    <n v="0"/>
    <n v="120"/>
    <n v="229"/>
    <n v="0"/>
    <n v="0"/>
    <n v="129"/>
    <n v="1"/>
    <n v="2.6"/>
    <n v="1"/>
    <n v="2"/>
    <n v="3"/>
    <n v="0"/>
    <x v="0"/>
    <x v="0"/>
    <x v="0"/>
    <s v="Normal"/>
    <x v="1"/>
    <x v="0"/>
    <x v="0"/>
  </r>
  <r>
    <n v="58"/>
    <x v="0"/>
    <n v="0"/>
    <n v="125"/>
    <n v="300"/>
    <n v="0"/>
    <n v="0"/>
    <n v="171"/>
    <n v="0"/>
    <n v="0"/>
    <n v="2"/>
    <n v="2"/>
    <n v="3"/>
    <n v="0"/>
    <x v="0"/>
    <x v="0"/>
    <x v="0"/>
    <s v="Normal"/>
    <x v="0"/>
    <x v="1"/>
    <x v="0"/>
  </r>
  <r>
    <n v="52"/>
    <x v="0"/>
    <n v="0"/>
    <n v="128"/>
    <n v="255"/>
    <n v="0"/>
    <n v="1"/>
    <n v="161"/>
    <n v="1"/>
    <n v="0"/>
    <n v="2"/>
    <n v="1"/>
    <n v="3"/>
    <n v="0"/>
    <x v="0"/>
    <x v="0"/>
    <x v="0"/>
    <s v="Normal"/>
    <x v="1"/>
    <x v="0"/>
    <x v="0"/>
  </r>
  <r>
    <n v="44"/>
    <x v="0"/>
    <n v="2"/>
    <n v="140"/>
    <n v="235"/>
    <n v="0"/>
    <n v="0"/>
    <n v="180"/>
    <n v="0"/>
    <n v="0"/>
    <n v="2"/>
    <n v="0"/>
    <n v="2"/>
    <n v="1"/>
    <x v="0"/>
    <x v="1"/>
    <x v="2"/>
    <s v="Normal"/>
    <x v="0"/>
    <x v="0"/>
    <x v="1"/>
  </r>
  <r>
    <n v="41"/>
    <x v="1"/>
    <n v="2"/>
    <n v="112"/>
    <n v="268"/>
    <n v="0"/>
    <n v="0"/>
    <n v="172"/>
    <n v="1"/>
    <n v="0"/>
    <n v="2"/>
    <n v="0"/>
    <n v="2"/>
    <n v="1"/>
    <x v="1"/>
    <x v="1"/>
    <x v="2"/>
    <s v="Normal"/>
    <x v="1"/>
    <x v="2"/>
    <x v="3"/>
  </r>
  <r>
    <n v="63"/>
    <x v="0"/>
    <n v="0"/>
    <n v="130"/>
    <n v="330"/>
    <n v="1"/>
    <n v="0"/>
    <n v="132"/>
    <n v="1"/>
    <n v="1.8"/>
    <n v="2"/>
    <n v="3"/>
    <n v="3"/>
    <n v="0"/>
    <x v="0"/>
    <x v="0"/>
    <x v="0"/>
    <s v="High"/>
    <x v="1"/>
    <x v="2"/>
    <x v="2"/>
  </r>
  <r>
    <n v="58"/>
    <x v="0"/>
    <n v="1"/>
    <n v="125"/>
    <n v="220"/>
    <n v="0"/>
    <n v="1"/>
    <n v="144"/>
    <n v="0"/>
    <n v="0.4"/>
    <n v="1"/>
    <n v="4"/>
    <n v="3"/>
    <n v="1"/>
    <x v="0"/>
    <x v="1"/>
    <x v="1"/>
    <s v="Normal"/>
    <x v="0"/>
    <x v="1"/>
    <x v="0"/>
  </r>
  <r>
    <n v="60"/>
    <x v="1"/>
    <n v="2"/>
    <n v="102"/>
    <n v="318"/>
    <n v="0"/>
    <n v="1"/>
    <n v="160"/>
    <n v="0"/>
    <n v="0"/>
    <n v="2"/>
    <n v="1"/>
    <n v="2"/>
    <n v="1"/>
    <x v="1"/>
    <x v="1"/>
    <x v="2"/>
    <s v="Normal"/>
    <x v="0"/>
    <x v="0"/>
    <x v="3"/>
  </r>
  <r>
    <n v="51"/>
    <x v="0"/>
    <n v="2"/>
    <n v="100"/>
    <n v="222"/>
    <n v="0"/>
    <n v="1"/>
    <n v="143"/>
    <n v="1"/>
    <n v="1.2"/>
    <n v="1"/>
    <n v="0"/>
    <n v="2"/>
    <n v="1"/>
    <x v="0"/>
    <x v="1"/>
    <x v="2"/>
    <s v="Normal"/>
    <x v="1"/>
    <x v="1"/>
    <x v="3"/>
  </r>
  <r>
    <n v="64"/>
    <x v="0"/>
    <n v="2"/>
    <n v="140"/>
    <n v="335"/>
    <n v="0"/>
    <n v="1"/>
    <n v="158"/>
    <n v="0"/>
    <n v="0"/>
    <n v="2"/>
    <n v="0"/>
    <n v="2"/>
    <n v="0"/>
    <x v="0"/>
    <x v="0"/>
    <x v="2"/>
    <s v="Normal"/>
    <x v="0"/>
    <x v="0"/>
    <x v="1"/>
  </r>
  <r>
    <n v="60"/>
    <x v="0"/>
    <n v="0"/>
    <n v="117"/>
    <n v="230"/>
    <n v="1"/>
    <n v="1"/>
    <n v="160"/>
    <n v="1"/>
    <n v="1.4"/>
    <n v="2"/>
    <n v="2"/>
    <n v="3"/>
    <n v="0"/>
    <x v="0"/>
    <x v="0"/>
    <x v="0"/>
    <s v="High"/>
    <x v="1"/>
    <x v="1"/>
    <x v="3"/>
  </r>
  <r>
    <n v="44"/>
    <x v="0"/>
    <n v="2"/>
    <n v="120"/>
    <n v="226"/>
    <n v="0"/>
    <n v="1"/>
    <n v="169"/>
    <n v="0"/>
    <n v="0"/>
    <n v="2"/>
    <n v="0"/>
    <n v="2"/>
    <n v="1"/>
    <x v="0"/>
    <x v="1"/>
    <x v="2"/>
    <s v="Normal"/>
    <x v="0"/>
    <x v="1"/>
    <x v="0"/>
  </r>
  <r>
    <n v="58"/>
    <x v="0"/>
    <n v="1"/>
    <n v="125"/>
    <n v="220"/>
    <n v="0"/>
    <n v="1"/>
    <n v="144"/>
    <n v="0"/>
    <n v="0.4"/>
    <n v="1"/>
    <n v="4"/>
    <n v="3"/>
    <n v="1"/>
    <x v="0"/>
    <x v="1"/>
    <x v="1"/>
    <s v="Normal"/>
    <x v="0"/>
    <x v="2"/>
    <x v="0"/>
  </r>
  <r>
    <n v="55"/>
    <x v="0"/>
    <n v="1"/>
    <n v="130"/>
    <n v="262"/>
    <n v="0"/>
    <n v="1"/>
    <n v="155"/>
    <n v="0"/>
    <n v="0"/>
    <n v="2"/>
    <n v="0"/>
    <n v="2"/>
    <n v="1"/>
    <x v="0"/>
    <x v="1"/>
    <x v="1"/>
    <s v="Normal"/>
    <x v="0"/>
    <x v="0"/>
    <x v="2"/>
  </r>
  <r>
    <n v="65"/>
    <x v="1"/>
    <n v="2"/>
    <n v="160"/>
    <n v="360"/>
    <n v="0"/>
    <n v="0"/>
    <n v="151"/>
    <n v="0"/>
    <n v="0.8"/>
    <n v="2"/>
    <n v="0"/>
    <n v="2"/>
    <n v="1"/>
    <x v="1"/>
    <x v="1"/>
    <x v="2"/>
    <s v="Normal"/>
    <x v="0"/>
    <x v="0"/>
    <x v="1"/>
  </r>
  <r>
    <n v="48"/>
    <x v="0"/>
    <n v="1"/>
    <n v="130"/>
    <n v="245"/>
    <n v="0"/>
    <n v="0"/>
    <n v="180"/>
    <n v="0"/>
    <n v="0.2"/>
    <n v="1"/>
    <n v="0"/>
    <n v="2"/>
    <n v="1"/>
    <x v="0"/>
    <x v="1"/>
    <x v="1"/>
    <s v="Normal"/>
    <x v="0"/>
    <x v="1"/>
    <x v="2"/>
  </r>
  <r>
    <n v="65"/>
    <x v="0"/>
    <n v="0"/>
    <n v="120"/>
    <n v="177"/>
    <n v="0"/>
    <n v="1"/>
    <n v="140"/>
    <n v="0"/>
    <n v="0.4"/>
    <n v="2"/>
    <n v="0"/>
    <n v="3"/>
    <n v="1"/>
    <x v="0"/>
    <x v="1"/>
    <x v="0"/>
    <s v="Normal"/>
    <x v="0"/>
    <x v="2"/>
    <x v="0"/>
  </r>
  <r>
    <n v="51"/>
    <x v="1"/>
    <n v="2"/>
    <n v="130"/>
    <n v="256"/>
    <n v="0"/>
    <n v="0"/>
    <n v="149"/>
    <n v="0"/>
    <n v="0.5"/>
    <n v="2"/>
    <n v="0"/>
    <n v="2"/>
    <n v="1"/>
    <x v="1"/>
    <x v="1"/>
    <x v="2"/>
    <s v="Normal"/>
    <x v="0"/>
    <x v="1"/>
    <x v="2"/>
  </r>
  <r>
    <n v="48"/>
    <x v="0"/>
    <n v="2"/>
    <n v="124"/>
    <n v="255"/>
    <n v="1"/>
    <n v="1"/>
    <n v="175"/>
    <n v="0"/>
    <n v="0"/>
    <n v="2"/>
    <n v="2"/>
    <n v="2"/>
    <n v="1"/>
    <x v="0"/>
    <x v="1"/>
    <x v="2"/>
    <s v="High"/>
    <x v="0"/>
    <x v="0"/>
    <x v="0"/>
  </r>
  <r>
    <n v="64"/>
    <x v="0"/>
    <n v="0"/>
    <n v="120"/>
    <n v="246"/>
    <n v="0"/>
    <n v="0"/>
    <n v="96"/>
    <n v="1"/>
    <n v="2.2000000000000002"/>
    <n v="0"/>
    <n v="1"/>
    <n v="2"/>
    <n v="0"/>
    <x v="0"/>
    <x v="0"/>
    <x v="0"/>
    <s v="Normal"/>
    <x v="1"/>
    <x v="2"/>
    <x v="0"/>
  </r>
  <r>
    <n v="66"/>
    <x v="0"/>
    <n v="0"/>
    <n v="160"/>
    <n v="228"/>
    <n v="0"/>
    <n v="0"/>
    <n v="138"/>
    <n v="0"/>
    <n v="2.2999999999999998"/>
    <n v="2"/>
    <n v="0"/>
    <n v="1"/>
    <n v="1"/>
    <x v="0"/>
    <x v="1"/>
    <x v="0"/>
    <s v="Normal"/>
    <x v="0"/>
    <x v="1"/>
    <x v="1"/>
  </r>
  <r>
    <n v="46"/>
    <x v="1"/>
    <n v="1"/>
    <n v="105"/>
    <n v="204"/>
    <n v="0"/>
    <n v="1"/>
    <n v="172"/>
    <n v="0"/>
    <n v="0"/>
    <n v="2"/>
    <n v="0"/>
    <n v="2"/>
    <n v="1"/>
    <x v="1"/>
    <x v="1"/>
    <x v="1"/>
    <s v="Normal"/>
    <x v="0"/>
    <x v="1"/>
    <x v="3"/>
  </r>
  <r>
    <n v="61"/>
    <x v="1"/>
    <n v="0"/>
    <n v="130"/>
    <n v="330"/>
    <n v="0"/>
    <n v="0"/>
    <n v="169"/>
    <n v="0"/>
    <n v="0"/>
    <n v="2"/>
    <n v="0"/>
    <n v="2"/>
    <n v="0"/>
    <x v="1"/>
    <x v="0"/>
    <x v="0"/>
    <s v="Normal"/>
    <x v="0"/>
    <x v="2"/>
    <x v="2"/>
  </r>
  <r>
    <n v="57"/>
    <x v="0"/>
    <n v="0"/>
    <n v="150"/>
    <n v="276"/>
    <n v="0"/>
    <n v="0"/>
    <n v="112"/>
    <n v="1"/>
    <n v="0.6"/>
    <n v="1"/>
    <n v="1"/>
    <n v="1"/>
    <n v="0"/>
    <x v="0"/>
    <x v="0"/>
    <x v="0"/>
    <s v="Normal"/>
    <x v="1"/>
    <x v="1"/>
    <x v="1"/>
  </r>
  <r>
    <n v="49"/>
    <x v="1"/>
    <n v="0"/>
    <n v="130"/>
    <n v="269"/>
    <n v="0"/>
    <n v="1"/>
    <n v="163"/>
    <n v="0"/>
    <n v="0"/>
    <n v="2"/>
    <n v="0"/>
    <n v="2"/>
    <n v="1"/>
    <x v="1"/>
    <x v="1"/>
    <x v="0"/>
    <s v="Normal"/>
    <x v="0"/>
    <x v="0"/>
    <x v="2"/>
  </r>
  <r>
    <n v="56"/>
    <x v="0"/>
    <n v="1"/>
    <n v="130"/>
    <n v="221"/>
    <n v="0"/>
    <n v="0"/>
    <n v="163"/>
    <n v="0"/>
    <n v="0"/>
    <n v="2"/>
    <n v="0"/>
    <n v="3"/>
    <n v="1"/>
    <x v="0"/>
    <x v="1"/>
    <x v="1"/>
    <s v="Normal"/>
    <x v="0"/>
    <x v="2"/>
    <x v="2"/>
  </r>
  <r>
    <n v="58"/>
    <x v="1"/>
    <n v="3"/>
    <n v="150"/>
    <n v="283"/>
    <n v="1"/>
    <n v="0"/>
    <n v="162"/>
    <n v="0"/>
    <n v="1"/>
    <n v="2"/>
    <n v="0"/>
    <n v="2"/>
    <n v="1"/>
    <x v="1"/>
    <x v="1"/>
    <x v="3"/>
    <s v="High"/>
    <x v="0"/>
    <x v="0"/>
    <x v="1"/>
  </r>
  <r>
    <n v="63"/>
    <x v="0"/>
    <n v="0"/>
    <n v="140"/>
    <n v="187"/>
    <n v="0"/>
    <n v="0"/>
    <n v="144"/>
    <n v="1"/>
    <n v="4"/>
    <n v="2"/>
    <n v="2"/>
    <n v="3"/>
    <n v="0"/>
    <x v="0"/>
    <x v="0"/>
    <x v="0"/>
    <s v="Normal"/>
    <x v="1"/>
    <x v="0"/>
    <x v="1"/>
  </r>
  <r>
    <n v="57"/>
    <x v="0"/>
    <n v="0"/>
    <n v="110"/>
    <n v="335"/>
    <n v="0"/>
    <n v="1"/>
    <n v="143"/>
    <n v="1"/>
    <n v="3"/>
    <n v="1"/>
    <n v="1"/>
    <n v="3"/>
    <n v="0"/>
    <x v="0"/>
    <x v="0"/>
    <x v="0"/>
    <s v="Normal"/>
    <x v="1"/>
    <x v="1"/>
    <x v="3"/>
  </r>
  <r>
    <n v="57"/>
    <x v="0"/>
    <n v="0"/>
    <n v="110"/>
    <n v="335"/>
    <n v="0"/>
    <n v="1"/>
    <n v="143"/>
    <n v="1"/>
    <n v="3"/>
    <n v="1"/>
    <n v="1"/>
    <n v="3"/>
    <n v="0"/>
    <x v="0"/>
    <x v="0"/>
    <x v="0"/>
    <s v="Normal"/>
    <x v="1"/>
    <x v="0"/>
    <x v="3"/>
  </r>
  <r>
    <n v="68"/>
    <x v="0"/>
    <n v="0"/>
    <n v="144"/>
    <n v="193"/>
    <n v="1"/>
    <n v="1"/>
    <n v="141"/>
    <n v="0"/>
    <n v="3.4"/>
    <n v="1"/>
    <n v="2"/>
    <n v="3"/>
    <n v="0"/>
    <x v="0"/>
    <x v="0"/>
    <x v="0"/>
    <s v="High"/>
    <x v="0"/>
    <x v="0"/>
    <x v="1"/>
  </r>
  <r>
    <n v="46"/>
    <x v="0"/>
    <n v="1"/>
    <n v="101"/>
    <n v="197"/>
    <n v="1"/>
    <n v="1"/>
    <n v="156"/>
    <n v="0"/>
    <n v="0"/>
    <n v="2"/>
    <n v="0"/>
    <n v="3"/>
    <n v="1"/>
    <x v="0"/>
    <x v="1"/>
    <x v="1"/>
    <s v="High"/>
    <x v="0"/>
    <x v="1"/>
    <x v="3"/>
  </r>
  <r>
    <n v="71"/>
    <x v="1"/>
    <n v="2"/>
    <n v="110"/>
    <n v="265"/>
    <n v="1"/>
    <n v="0"/>
    <n v="130"/>
    <n v="0"/>
    <n v="0"/>
    <n v="2"/>
    <n v="1"/>
    <n v="2"/>
    <n v="1"/>
    <x v="1"/>
    <x v="1"/>
    <x v="2"/>
    <s v="High"/>
    <x v="0"/>
    <x v="2"/>
    <x v="3"/>
  </r>
  <r>
    <n v="41"/>
    <x v="0"/>
    <n v="1"/>
    <n v="135"/>
    <n v="203"/>
    <n v="0"/>
    <n v="1"/>
    <n v="132"/>
    <n v="0"/>
    <n v="0"/>
    <n v="1"/>
    <n v="0"/>
    <n v="1"/>
    <n v="1"/>
    <x v="0"/>
    <x v="1"/>
    <x v="1"/>
    <s v="Normal"/>
    <x v="0"/>
    <x v="1"/>
    <x v="2"/>
  </r>
  <r>
    <n v="45"/>
    <x v="1"/>
    <n v="0"/>
    <n v="138"/>
    <n v="236"/>
    <n v="0"/>
    <n v="0"/>
    <n v="152"/>
    <n v="1"/>
    <n v="0.2"/>
    <n v="1"/>
    <n v="0"/>
    <n v="2"/>
    <n v="1"/>
    <x v="1"/>
    <x v="1"/>
    <x v="0"/>
    <s v="Normal"/>
    <x v="1"/>
    <x v="2"/>
    <x v="2"/>
  </r>
  <r>
    <n v="62"/>
    <x v="1"/>
    <n v="0"/>
    <n v="150"/>
    <n v="244"/>
    <n v="0"/>
    <n v="1"/>
    <n v="154"/>
    <n v="1"/>
    <n v="1.4"/>
    <n v="1"/>
    <n v="0"/>
    <n v="2"/>
    <n v="0"/>
    <x v="1"/>
    <x v="0"/>
    <x v="0"/>
    <s v="Normal"/>
    <x v="1"/>
    <x v="2"/>
    <x v="1"/>
  </r>
  <r>
    <n v="65"/>
    <x v="1"/>
    <n v="0"/>
    <n v="150"/>
    <n v="225"/>
    <n v="0"/>
    <n v="0"/>
    <n v="114"/>
    <n v="0"/>
    <n v="1"/>
    <n v="1"/>
    <n v="3"/>
    <n v="3"/>
    <n v="0"/>
    <x v="1"/>
    <x v="0"/>
    <x v="0"/>
    <s v="Normal"/>
    <x v="0"/>
    <x v="1"/>
    <x v="1"/>
  </r>
  <r>
    <n v="48"/>
    <x v="1"/>
    <n v="2"/>
    <n v="130"/>
    <n v="275"/>
    <n v="0"/>
    <n v="1"/>
    <n v="139"/>
    <n v="0"/>
    <n v="0.2"/>
    <n v="2"/>
    <n v="0"/>
    <n v="2"/>
    <n v="1"/>
    <x v="1"/>
    <x v="1"/>
    <x v="2"/>
    <s v="Normal"/>
    <x v="0"/>
    <x v="1"/>
    <x v="2"/>
  </r>
  <r>
    <n v="51"/>
    <x v="0"/>
    <n v="2"/>
    <n v="100"/>
    <n v="222"/>
    <n v="0"/>
    <n v="1"/>
    <n v="143"/>
    <n v="1"/>
    <n v="1.2"/>
    <n v="1"/>
    <n v="0"/>
    <n v="2"/>
    <n v="1"/>
    <x v="0"/>
    <x v="1"/>
    <x v="2"/>
    <s v="Normal"/>
    <x v="1"/>
    <x v="2"/>
    <x v="3"/>
  </r>
  <r>
    <n v="61"/>
    <x v="1"/>
    <n v="0"/>
    <n v="145"/>
    <n v="307"/>
    <n v="0"/>
    <n v="0"/>
    <n v="146"/>
    <n v="1"/>
    <n v="1"/>
    <n v="1"/>
    <n v="0"/>
    <n v="3"/>
    <n v="0"/>
    <x v="1"/>
    <x v="0"/>
    <x v="0"/>
    <s v="Normal"/>
    <x v="1"/>
    <x v="0"/>
    <x v="1"/>
  </r>
  <r>
    <n v="53"/>
    <x v="0"/>
    <n v="0"/>
    <n v="123"/>
    <n v="282"/>
    <n v="0"/>
    <n v="1"/>
    <n v="95"/>
    <n v="1"/>
    <n v="2"/>
    <n v="1"/>
    <n v="2"/>
    <n v="3"/>
    <n v="0"/>
    <x v="0"/>
    <x v="0"/>
    <x v="0"/>
    <s v="Normal"/>
    <x v="1"/>
    <x v="1"/>
    <x v="0"/>
  </r>
  <r>
    <n v="59"/>
    <x v="0"/>
    <n v="3"/>
    <n v="134"/>
    <n v="204"/>
    <n v="0"/>
    <n v="1"/>
    <n v="162"/>
    <n v="0"/>
    <n v="0.8"/>
    <n v="2"/>
    <n v="2"/>
    <n v="2"/>
    <n v="0"/>
    <x v="0"/>
    <x v="0"/>
    <x v="3"/>
    <s v="Normal"/>
    <x v="0"/>
    <x v="0"/>
    <x v="2"/>
  </r>
  <r>
    <n v="34"/>
    <x v="1"/>
    <n v="1"/>
    <n v="118"/>
    <n v="210"/>
    <n v="0"/>
    <n v="1"/>
    <n v="192"/>
    <n v="0"/>
    <n v="0.7"/>
    <n v="2"/>
    <n v="0"/>
    <n v="2"/>
    <n v="1"/>
    <x v="1"/>
    <x v="1"/>
    <x v="1"/>
    <s v="Normal"/>
    <x v="0"/>
    <x v="0"/>
    <x v="3"/>
  </r>
  <r>
    <n v="44"/>
    <x v="0"/>
    <n v="0"/>
    <n v="120"/>
    <n v="169"/>
    <n v="0"/>
    <n v="1"/>
    <n v="144"/>
    <n v="1"/>
    <n v="2.8"/>
    <n v="0"/>
    <n v="0"/>
    <n v="1"/>
    <n v="0"/>
    <x v="0"/>
    <x v="0"/>
    <x v="0"/>
    <s v="Normal"/>
    <x v="1"/>
    <x v="3"/>
    <x v="0"/>
  </r>
  <r>
    <n v="58"/>
    <x v="0"/>
    <n v="0"/>
    <n v="146"/>
    <n v="218"/>
    <n v="0"/>
    <n v="1"/>
    <n v="105"/>
    <n v="0"/>
    <n v="2"/>
    <n v="1"/>
    <n v="1"/>
    <n v="3"/>
    <n v="0"/>
    <x v="0"/>
    <x v="0"/>
    <x v="0"/>
    <s v="Normal"/>
    <x v="0"/>
    <x v="2"/>
    <x v="1"/>
  </r>
  <r>
    <n v="64"/>
    <x v="1"/>
    <n v="0"/>
    <n v="130"/>
    <n v="303"/>
    <n v="0"/>
    <n v="1"/>
    <n v="122"/>
    <n v="0"/>
    <n v="2"/>
    <n v="1"/>
    <n v="2"/>
    <n v="2"/>
    <n v="1"/>
    <x v="1"/>
    <x v="1"/>
    <x v="0"/>
    <s v="Normal"/>
    <x v="0"/>
    <x v="0"/>
    <x v="2"/>
  </r>
  <r>
    <n v="56"/>
    <x v="0"/>
    <n v="1"/>
    <n v="120"/>
    <n v="240"/>
    <n v="0"/>
    <n v="1"/>
    <n v="169"/>
    <n v="0"/>
    <n v="0"/>
    <n v="0"/>
    <n v="0"/>
    <n v="2"/>
    <n v="1"/>
    <x v="0"/>
    <x v="1"/>
    <x v="1"/>
    <s v="Normal"/>
    <x v="0"/>
    <x v="1"/>
    <x v="0"/>
  </r>
  <r>
    <n v="54"/>
    <x v="0"/>
    <n v="2"/>
    <n v="150"/>
    <n v="232"/>
    <n v="0"/>
    <n v="0"/>
    <n v="165"/>
    <n v="0"/>
    <n v="1.6"/>
    <n v="2"/>
    <n v="0"/>
    <n v="3"/>
    <n v="1"/>
    <x v="0"/>
    <x v="1"/>
    <x v="2"/>
    <s v="Normal"/>
    <x v="0"/>
    <x v="0"/>
    <x v="1"/>
  </r>
  <r>
    <n v="55"/>
    <x v="0"/>
    <n v="0"/>
    <n v="160"/>
    <n v="289"/>
    <n v="0"/>
    <n v="0"/>
    <n v="145"/>
    <n v="1"/>
    <n v="0.8"/>
    <n v="1"/>
    <n v="1"/>
    <n v="3"/>
    <n v="0"/>
    <x v="0"/>
    <x v="0"/>
    <x v="0"/>
    <s v="Normal"/>
    <x v="1"/>
    <x v="0"/>
    <x v="1"/>
  </r>
  <r>
    <n v="67"/>
    <x v="0"/>
    <n v="0"/>
    <n v="125"/>
    <n v="254"/>
    <n v="1"/>
    <n v="1"/>
    <n v="163"/>
    <n v="0"/>
    <n v="0.2"/>
    <n v="1"/>
    <n v="2"/>
    <n v="3"/>
    <n v="0"/>
    <x v="0"/>
    <x v="0"/>
    <x v="0"/>
    <s v="High"/>
    <x v="0"/>
    <x v="0"/>
    <x v="0"/>
  </r>
  <r>
    <n v="51"/>
    <x v="0"/>
    <n v="0"/>
    <n v="140"/>
    <n v="298"/>
    <n v="0"/>
    <n v="1"/>
    <n v="122"/>
    <n v="1"/>
    <n v="4.2"/>
    <n v="1"/>
    <n v="3"/>
    <n v="3"/>
    <n v="0"/>
    <x v="0"/>
    <x v="0"/>
    <x v="0"/>
    <s v="Normal"/>
    <x v="1"/>
    <x v="1"/>
    <x v="1"/>
  </r>
  <r>
    <n v="62"/>
    <x v="1"/>
    <n v="0"/>
    <n v="138"/>
    <n v="294"/>
    <n v="1"/>
    <n v="1"/>
    <n v="106"/>
    <n v="0"/>
    <n v="1.9"/>
    <n v="1"/>
    <n v="3"/>
    <n v="2"/>
    <n v="0"/>
    <x v="1"/>
    <x v="0"/>
    <x v="0"/>
    <s v="High"/>
    <x v="0"/>
    <x v="0"/>
    <x v="2"/>
  </r>
  <r>
    <n v="62"/>
    <x v="0"/>
    <n v="1"/>
    <n v="120"/>
    <n v="281"/>
    <n v="0"/>
    <n v="0"/>
    <n v="103"/>
    <n v="0"/>
    <n v="1.4"/>
    <n v="1"/>
    <n v="1"/>
    <n v="3"/>
    <n v="0"/>
    <x v="0"/>
    <x v="0"/>
    <x v="1"/>
    <s v="Normal"/>
    <x v="0"/>
    <x v="1"/>
    <x v="0"/>
  </r>
  <r>
    <n v="54"/>
    <x v="0"/>
    <n v="0"/>
    <n v="110"/>
    <n v="239"/>
    <n v="0"/>
    <n v="1"/>
    <n v="126"/>
    <n v="1"/>
    <n v="2.8"/>
    <n v="1"/>
    <n v="1"/>
    <n v="3"/>
    <n v="0"/>
    <x v="0"/>
    <x v="0"/>
    <x v="0"/>
    <s v="Normal"/>
    <x v="1"/>
    <x v="1"/>
    <x v="3"/>
  </r>
  <r>
    <n v="54"/>
    <x v="0"/>
    <n v="0"/>
    <n v="110"/>
    <n v="239"/>
    <n v="0"/>
    <n v="1"/>
    <n v="126"/>
    <n v="1"/>
    <n v="2.8"/>
    <n v="1"/>
    <n v="1"/>
    <n v="3"/>
    <n v="0"/>
    <x v="0"/>
    <x v="0"/>
    <x v="0"/>
    <s v="Normal"/>
    <x v="1"/>
    <x v="0"/>
    <x v="3"/>
  </r>
  <r>
    <n v="68"/>
    <x v="0"/>
    <n v="0"/>
    <n v="144"/>
    <n v="193"/>
    <n v="1"/>
    <n v="1"/>
    <n v="141"/>
    <n v="0"/>
    <n v="3.4"/>
    <n v="1"/>
    <n v="2"/>
    <n v="3"/>
    <n v="0"/>
    <x v="0"/>
    <x v="0"/>
    <x v="0"/>
    <s v="High"/>
    <x v="0"/>
    <x v="0"/>
    <x v="1"/>
  </r>
  <r>
    <n v="60"/>
    <x v="1"/>
    <n v="2"/>
    <n v="120"/>
    <n v="178"/>
    <n v="1"/>
    <n v="1"/>
    <n v="96"/>
    <n v="0"/>
    <n v="0"/>
    <n v="2"/>
    <n v="0"/>
    <n v="2"/>
    <n v="1"/>
    <x v="1"/>
    <x v="1"/>
    <x v="2"/>
    <s v="High"/>
    <x v="0"/>
    <x v="1"/>
    <x v="0"/>
  </r>
  <r>
    <n v="61"/>
    <x v="0"/>
    <n v="3"/>
    <n v="134"/>
    <n v="234"/>
    <n v="0"/>
    <n v="1"/>
    <n v="145"/>
    <n v="0"/>
    <n v="2.6"/>
    <n v="1"/>
    <n v="2"/>
    <n v="2"/>
    <n v="0"/>
    <x v="0"/>
    <x v="0"/>
    <x v="3"/>
    <s v="Normal"/>
    <x v="0"/>
    <x v="1"/>
    <x v="2"/>
  </r>
  <r>
    <n v="62"/>
    <x v="0"/>
    <n v="1"/>
    <n v="128"/>
    <n v="208"/>
    <n v="1"/>
    <n v="0"/>
    <n v="140"/>
    <n v="0"/>
    <n v="0"/>
    <n v="2"/>
    <n v="0"/>
    <n v="2"/>
    <n v="1"/>
    <x v="0"/>
    <x v="1"/>
    <x v="1"/>
    <s v="High"/>
    <x v="0"/>
    <x v="1"/>
    <x v="0"/>
  </r>
  <r>
    <n v="41"/>
    <x v="0"/>
    <n v="1"/>
    <n v="135"/>
    <n v="203"/>
    <n v="0"/>
    <n v="1"/>
    <n v="132"/>
    <n v="0"/>
    <n v="0"/>
    <n v="1"/>
    <n v="0"/>
    <n v="1"/>
    <n v="1"/>
    <x v="0"/>
    <x v="1"/>
    <x v="1"/>
    <s v="Normal"/>
    <x v="0"/>
    <x v="1"/>
    <x v="2"/>
  </r>
  <r>
    <n v="65"/>
    <x v="1"/>
    <n v="0"/>
    <n v="150"/>
    <n v="225"/>
    <n v="0"/>
    <n v="0"/>
    <n v="114"/>
    <n v="0"/>
    <n v="1"/>
    <n v="1"/>
    <n v="3"/>
    <n v="3"/>
    <n v="0"/>
    <x v="1"/>
    <x v="0"/>
    <x v="0"/>
    <s v="Normal"/>
    <x v="0"/>
    <x v="2"/>
    <x v="1"/>
  </r>
  <r>
    <n v="59"/>
    <x v="0"/>
    <n v="3"/>
    <n v="170"/>
    <n v="288"/>
    <n v="0"/>
    <n v="0"/>
    <n v="159"/>
    <n v="0"/>
    <n v="0.2"/>
    <n v="1"/>
    <n v="0"/>
    <n v="3"/>
    <n v="0"/>
    <x v="0"/>
    <x v="0"/>
    <x v="3"/>
    <s v="Normal"/>
    <x v="0"/>
    <x v="1"/>
    <x v="1"/>
  </r>
  <r>
    <n v="43"/>
    <x v="0"/>
    <n v="0"/>
    <n v="115"/>
    <n v="303"/>
    <n v="0"/>
    <n v="1"/>
    <n v="181"/>
    <n v="0"/>
    <n v="1.2"/>
    <n v="1"/>
    <n v="0"/>
    <n v="2"/>
    <n v="1"/>
    <x v="0"/>
    <x v="1"/>
    <x v="0"/>
    <s v="Normal"/>
    <x v="0"/>
    <x v="0"/>
    <x v="3"/>
  </r>
  <r>
    <n v="67"/>
    <x v="0"/>
    <n v="0"/>
    <n v="120"/>
    <n v="229"/>
    <n v="0"/>
    <n v="0"/>
    <n v="129"/>
    <n v="1"/>
    <n v="2.6"/>
    <n v="1"/>
    <n v="2"/>
    <n v="3"/>
    <n v="0"/>
    <x v="0"/>
    <x v="0"/>
    <x v="0"/>
    <s v="Normal"/>
    <x v="1"/>
    <x v="2"/>
    <x v="0"/>
  </r>
  <r>
    <n v="63"/>
    <x v="0"/>
    <n v="3"/>
    <n v="145"/>
    <n v="233"/>
    <n v="1"/>
    <n v="0"/>
    <n v="150"/>
    <n v="0"/>
    <n v="2.2999999999999998"/>
    <n v="0"/>
    <n v="0"/>
    <n v="1"/>
    <n v="1"/>
    <x v="0"/>
    <x v="1"/>
    <x v="3"/>
    <s v="High"/>
    <x v="0"/>
    <x v="1"/>
    <x v="1"/>
  </r>
  <r>
    <n v="63"/>
    <x v="1"/>
    <n v="0"/>
    <n v="124"/>
    <n v="197"/>
    <n v="0"/>
    <n v="1"/>
    <n v="136"/>
    <n v="1"/>
    <n v="0"/>
    <n v="1"/>
    <n v="0"/>
    <n v="2"/>
    <n v="0"/>
    <x v="1"/>
    <x v="0"/>
    <x v="0"/>
    <s v="Normal"/>
    <x v="1"/>
    <x v="1"/>
    <x v="0"/>
  </r>
  <r>
    <n v="52"/>
    <x v="0"/>
    <n v="0"/>
    <n v="112"/>
    <n v="230"/>
    <n v="0"/>
    <n v="1"/>
    <n v="160"/>
    <n v="0"/>
    <n v="0"/>
    <n v="2"/>
    <n v="1"/>
    <n v="2"/>
    <n v="0"/>
    <x v="0"/>
    <x v="0"/>
    <x v="0"/>
    <s v="Normal"/>
    <x v="0"/>
    <x v="1"/>
    <x v="3"/>
  </r>
  <r>
    <n v="58"/>
    <x v="1"/>
    <n v="0"/>
    <n v="130"/>
    <n v="197"/>
    <n v="0"/>
    <n v="1"/>
    <n v="131"/>
    <n v="0"/>
    <n v="0.6"/>
    <n v="1"/>
    <n v="0"/>
    <n v="2"/>
    <n v="1"/>
    <x v="1"/>
    <x v="1"/>
    <x v="0"/>
    <s v="Normal"/>
    <x v="0"/>
    <x v="0"/>
    <x v="2"/>
  </r>
  <r>
    <n v="53"/>
    <x v="0"/>
    <n v="0"/>
    <n v="142"/>
    <n v="226"/>
    <n v="0"/>
    <n v="0"/>
    <n v="111"/>
    <n v="1"/>
    <n v="0"/>
    <n v="2"/>
    <n v="0"/>
    <n v="3"/>
    <n v="1"/>
    <x v="0"/>
    <x v="1"/>
    <x v="0"/>
    <s v="Normal"/>
    <x v="1"/>
    <x v="0"/>
    <x v="1"/>
  </r>
  <r>
    <n v="57"/>
    <x v="0"/>
    <n v="0"/>
    <n v="150"/>
    <n v="276"/>
    <n v="0"/>
    <n v="0"/>
    <n v="112"/>
    <n v="1"/>
    <n v="0.6"/>
    <n v="1"/>
    <n v="1"/>
    <n v="1"/>
    <n v="0"/>
    <x v="0"/>
    <x v="0"/>
    <x v="0"/>
    <s v="Normal"/>
    <x v="1"/>
    <x v="0"/>
    <x v="1"/>
  </r>
  <r>
    <n v="44"/>
    <x v="0"/>
    <n v="2"/>
    <n v="130"/>
    <n v="233"/>
    <n v="0"/>
    <n v="1"/>
    <n v="179"/>
    <n v="1"/>
    <n v="0.4"/>
    <n v="2"/>
    <n v="0"/>
    <n v="2"/>
    <n v="1"/>
    <x v="0"/>
    <x v="1"/>
    <x v="2"/>
    <s v="Normal"/>
    <x v="1"/>
    <x v="0"/>
    <x v="2"/>
  </r>
  <r>
    <n v="51"/>
    <x v="0"/>
    <n v="2"/>
    <n v="94"/>
    <n v="227"/>
    <n v="0"/>
    <n v="1"/>
    <n v="154"/>
    <n v="1"/>
    <n v="0"/>
    <n v="2"/>
    <n v="1"/>
    <n v="3"/>
    <n v="1"/>
    <x v="0"/>
    <x v="1"/>
    <x v="2"/>
    <s v="Normal"/>
    <x v="1"/>
    <x v="2"/>
    <x v="3"/>
  </r>
  <r>
    <n v="54"/>
    <x v="1"/>
    <n v="2"/>
    <n v="110"/>
    <n v="214"/>
    <n v="0"/>
    <n v="1"/>
    <n v="158"/>
    <n v="0"/>
    <n v="1.6"/>
    <n v="1"/>
    <n v="0"/>
    <n v="2"/>
    <n v="1"/>
    <x v="1"/>
    <x v="1"/>
    <x v="2"/>
    <s v="Normal"/>
    <x v="0"/>
    <x v="0"/>
    <x v="3"/>
  </r>
  <r>
    <n v="40"/>
    <x v="0"/>
    <n v="0"/>
    <n v="110"/>
    <n v="167"/>
    <n v="0"/>
    <n v="0"/>
    <n v="114"/>
    <n v="1"/>
    <n v="2"/>
    <n v="1"/>
    <n v="0"/>
    <n v="3"/>
    <n v="0"/>
    <x v="0"/>
    <x v="0"/>
    <x v="0"/>
    <s v="Normal"/>
    <x v="1"/>
    <x v="0"/>
    <x v="3"/>
  </r>
  <r>
    <n v="57"/>
    <x v="0"/>
    <n v="1"/>
    <n v="124"/>
    <n v="261"/>
    <n v="0"/>
    <n v="1"/>
    <n v="141"/>
    <n v="0"/>
    <n v="0.3"/>
    <n v="2"/>
    <n v="0"/>
    <n v="3"/>
    <n v="0"/>
    <x v="0"/>
    <x v="0"/>
    <x v="1"/>
    <s v="Normal"/>
    <x v="0"/>
    <x v="2"/>
    <x v="0"/>
  </r>
  <r>
    <n v="62"/>
    <x v="1"/>
    <n v="0"/>
    <n v="140"/>
    <n v="268"/>
    <n v="0"/>
    <n v="0"/>
    <n v="160"/>
    <n v="0"/>
    <n v="3.6"/>
    <n v="0"/>
    <n v="2"/>
    <n v="2"/>
    <n v="0"/>
    <x v="1"/>
    <x v="0"/>
    <x v="0"/>
    <s v="Normal"/>
    <x v="0"/>
    <x v="0"/>
    <x v="1"/>
  </r>
  <r>
    <n v="53"/>
    <x v="0"/>
    <n v="0"/>
    <n v="140"/>
    <n v="203"/>
    <n v="1"/>
    <n v="0"/>
    <n v="155"/>
    <n v="1"/>
    <n v="3.1"/>
    <n v="0"/>
    <n v="0"/>
    <n v="3"/>
    <n v="0"/>
    <x v="0"/>
    <x v="0"/>
    <x v="0"/>
    <s v="High"/>
    <x v="1"/>
    <x v="1"/>
    <x v="1"/>
  </r>
  <r>
    <n v="62"/>
    <x v="0"/>
    <n v="1"/>
    <n v="128"/>
    <n v="208"/>
    <n v="1"/>
    <n v="0"/>
    <n v="140"/>
    <n v="0"/>
    <n v="0"/>
    <n v="2"/>
    <n v="0"/>
    <n v="2"/>
    <n v="1"/>
    <x v="0"/>
    <x v="1"/>
    <x v="1"/>
    <s v="High"/>
    <x v="0"/>
    <x v="0"/>
    <x v="0"/>
  </r>
  <r>
    <n v="58"/>
    <x v="0"/>
    <n v="2"/>
    <n v="105"/>
    <n v="240"/>
    <n v="0"/>
    <n v="0"/>
    <n v="154"/>
    <n v="1"/>
    <n v="0.6"/>
    <n v="1"/>
    <n v="0"/>
    <n v="3"/>
    <n v="1"/>
    <x v="0"/>
    <x v="1"/>
    <x v="2"/>
    <s v="Normal"/>
    <x v="1"/>
    <x v="1"/>
    <x v="3"/>
  </r>
  <r>
    <n v="70"/>
    <x v="0"/>
    <n v="1"/>
    <n v="156"/>
    <n v="245"/>
    <n v="0"/>
    <n v="0"/>
    <n v="143"/>
    <n v="0"/>
    <n v="0"/>
    <n v="2"/>
    <n v="0"/>
    <n v="2"/>
    <n v="1"/>
    <x v="0"/>
    <x v="1"/>
    <x v="1"/>
    <s v="Normal"/>
    <x v="0"/>
    <x v="0"/>
    <x v="1"/>
  </r>
  <r>
    <n v="45"/>
    <x v="0"/>
    <n v="0"/>
    <n v="115"/>
    <n v="260"/>
    <n v="0"/>
    <n v="0"/>
    <n v="185"/>
    <n v="0"/>
    <n v="0"/>
    <n v="2"/>
    <n v="0"/>
    <n v="2"/>
    <n v="1"/>
    <x v="0"/>
    <x v="1"/>
    <x v="0"/>
    <s v="Normal"/>
    <x v="0"/>
    <x v="1"/>
    <x v="3"/>
  </r>
  <r>
    <n v="42"/>
    <x v="0"/>
    <n v="3"/>
    <n v="148"/>
    <n v="244"/>
    <n v="0"/>
    <n v="0"/>
    <n v="178"/>
    <n v="0"/>
    <n v="0.8"/>
    <n v="2"/>
    <n v="2"/>
    <n v="2"/>
    <n v="1"/>
    <x v="0"/>
    <x v="1"/>
    <x v="3"/>
    <s v="Normal"/>
    <x v="0"/>
    <x v="2"/>
    <x v="1"/>
  </r>
  <r>
    <n v="58"/>
    <x v="1"/>
    <n v="0"/>
    <n v="170"/>
    <n v="225"/>
    <n v="1"/>
    <n v="0"/>
    <n v="146"/>
    <n v="1"/>
    <n v="2.8"/>
    <n v="1"/>
    <n v="2"/>
    <n v="1"/>
    <n v="0"/>
    <x v="1"/>
    <x v="0"/>
    <x v="0"/>
    <s v="High"/>
    <x v="1"/>
    <x v="2"/>
    <x v="1"/>
  </r>
  <r>
    <n v="61"/>
    <x v="0"/>
    <n v="0"/>
    <n v="140"/>
    <n v="207"/>
    <n v="0"/>
    <n v="0"/>
    <n v="138"/>
    <n v="1"/>
    <n v="1.9"/>
    <n v="2"/>
    <n v="1"/>
    <n v="3"/>
    <n v="0"/>
    <x v="0"/>
    <x v="0"/>
    <x v="0"/>
    <s v="Normal"/>
    <x v="1"/>
    <x v="0"/>
    <x v="1"/>
  </r>
  <r>
    <n v="62"/>
    <x v="1"/>
    <n v="0"/>
    <n v="140"/>
    <n v="268"/>
    <n v="0"/>
    <n v="0"/>
    <n v="160"/>
    <n v="0"/>
    <n v="3.6"/>
    <n v="0"/>
    <n v="2"/>
    <n v="2"/>
    <n v="0"/>
    <x v="1"/>
    <x v="0"/>
    <x v="0"/>
    <s v="Normal"/>
    <x v="0"/>
    <x v="1"/>
    <x v="1"/>
  </r>
  <r>
    <n v="60"/>
    <x v="0"/>
    <n v="0"/>
    <n v="130"/>
    <n v="253"/>
    <n v="0"/>
    <n v="1"/>
    <n v="144"/>
    <n v="1"/>
    <n v="1.4"/>
    <n v="2"/>
    <n v="1"/>
    <n v="3"/>
    <n v="0"/>
    <x v="0"/>
    <x v="0"/>
    <x v="0"/>
    <s v="Normal"/>
    <x v="1"/>
    <x v="1"/>
    <x v="2"/>
  </r>
  <r>
    <n v="54"/>
    <x v="0"/>
    <n v="0"/>
    <n v="140"/>
    <n v="239"/>
    <n v="0"/>
    <n v="1"/>
    <n v="160"/>
    <n v="0"/>
    <n v="1.2"/>
    <n v="2"/>
    <n v="0"/>
    <n v="2"/>
    <n v="1"/>
    <x v="0"/>
    <x v="1"/>
    <x v="0"/>
    <s v="Normal"/>
    <x v="0"/>
    <x v="1"/>
    <x v="1"/>
  </r>
  <r>
    <n v="61"/>
    <x v="0"/>
    <n v="0"/>
    <n v="138"/>
    <n v="166"/>
    <n v="0"/>
    <n v="0"/>
    <n v="125"/>
    <n v="1"/>
    <n v="3.6"/>
    <n v="1"/>
    <n v="1"/>
    <n v="2"/>
    <n v="0"/>
    <x v="0"/>
    <x v="0"/>
    <x v="0"/>
    <s v="Normal"/>
    <x v="1"/>
    <x v="0"/>
    <x v="2"/>
  </r>
  <r>
    <n v="63"/>
    <x v="1"/>
    <n v="2"/>
    <n v="135"/>
    <n v="252"/>
    <n v="0"/>
    <n v="0"/>
    <n v="172"/>
    <n v="0"/>
    <n v="0"/>
    <n v="2"/>
    <n v="0"/>
    <n v="2"/>
    <n v="1"/>
    <x v="1"/>
    <x v="1"/>
    <x v="2"/>
    <s v="Normal"/>
    <x v="0"/>
    <x v="1"/>
    <x v="2"/>
  </r>
  <r>
    <n v="42"/>
    <x v="0"/>
    <n v="2"/>
    <n v="130"/>
    <n v="180"/>
    <n v="0"/>
    <n v="1"/>
    <n v="150"/>
    <n v="0"/>
    <n v="0"/>
    <n v="2"/>
    <n v="0"/>
    <n v="2"/>
    <n v="1"/>
    <x v="0"/>
    <x v="1"/>
    <x v="2"/>
    <s v="Normal"/>
    <x v="0"/>
    <x v="1"/>
    <x v="2"/>
  </r>
  <r>
    <n v="57"/>
    <x v="0"/>
    <n v="2"/>
    <n v="128"/>
    <n v="229"/>
    <n v="0"/>
    <n v="0"/>
    <n v="150"/>
    <n v="0"/>
    <n v="0.4"/>
    <n v="1"/>
    <n v="1"/>
    <n v="3"/>
    <n v="0"/>
    <x v="0"/>
    <x v="0"/>
    <x v="2"/>
    <s v="Normal"/>
    <x v="0"/>
    <x v="2"/>
    <x v="0"/>
  </r>
  <r>
    <n v="44"/>
    <x v="0"/>
    <n v="2"/>
    <n v="130"/>
    <n v="233"/>
    <n v="0"/>
    <n v="1"/>
    <n v="179"/>
    <n v="1"/>
    <n v="0.4"/>
    <n v="2"/>
    <n v="0"/>
    <n v="2"/>
    <n v="1"/>
    <x v="0"/>
    <x v="1"/>
    <x v="2"/>
    <s v="Normal"/>
    <x v="1"/>
    <x v="0"/>
    <x v="2"/>
  </r>
  <r>
    <n v="54"/>
    <x v="0"/>
    <n v="0"/>
    <n v="124"/>
    <n v="266"/>
    <n v="0"/>
    <n v="0"/>
    <n v="109"/>
    <n v="1"/>
    <n v="2.2000000000000002"/>
    <n v="1"/>
    <n v="1"/>
    <n v="3"/>
    <n v="0"/>
    <x v="0"/>
    <x v="0"/>
    <x v="0"/>
    <s v="Normal"/>
    <x v="1"/>
    <x v="2"/>
    <x v="0"/>
  </r>
  <r>
    <n v="51"/>
    <x v="0"/>
    <n v="2"/>
    <n v="100"/>
    <n v="222"/>
    <n v="0"/>
    <n v="1"/>
    <n v="143"/>
    <n v="1"/>
    <n v="1.2"/>
    <n v="1"/>
    <n v="0"/>
    <n v="2"/>
    <n v="1"/>
    <x v="0"/>
    <x v="1"/>
    <x v="2"/>
    <s v="Normal"/>
    <x v="1"/>
    <x v="0"/>
    <x v="3"/>
  </r>
  <r>
    <n v="58"/>
    <x v="0"/>
    <n v="1"/>
    <n v="125"/>
    <n v="220"/>
    <n v="0"/>
    <n v="1"/>
    <n v="144"/>
    <n v="0"/>
    <n v="0.4"/>
    <n v="1"/>
    <n v="4"/>
    <n v="3"/>
    <n v="1"/>
    <x v="0"/>
    <x v="1"/>
    <x v="1"/>
    <s v="Normal"/>
    <x v="0"/>
    <x v="0"/>
    <x v="0"/>
  </r>
  <r>
    <n v="68"/>
    <x v="0"/>
    <n v="2"/>
    <n v="118"/>
    <n v="277"/>
    <n v="0"/>
    <n v="1"/>
    <n v="151"/>
    <n v="0"/>
    <n v="1"/>
    <n v="2"/>
    <n v="1"/>
    <n v="3"/>
    <n v="1"/>
    <x v="0"/>
    <x v="1"/>
    <x v="2"/>
    <s v="Normal"/>
    <x v="0"/>
    <x v="0"/>
    <x v="3"/>
  </r>
  <r>
    <n v="55"/>
    <x v="0"/>
    <n v="0"/>
    <n v="140"/>
    <n v="217"/>
    <n v="0"/>
    <n v="1"/>
    <n v="111"/>
    <n v="1"/>
    <n v="5.6"/>
    <n v="0"/>
    <n v="0"/>
    <n v="3"/>
    <n v="0"/>
    <x v="0"/>
    <x v="0"/>
    <x v="0"/>
    <s v="Normal"/>
    <x v="1"/>
    <x v="1"/>
    <x v="1"/>
  </r>
  <r>
    <n v="42"/>
    <x v="0"/>
    <n v="0"/>
    <n v="136"/>
    <n v="315"/>
    <n v="0"/>
    <n v="1"/>
    <n v="125"/>
    <n v="1"/>
    <n v="1.8"/>
    <n v="1"/>
    <n v="0"/>
    <n v="1"/>
    <n v="0"/>
    <x v="0"/>
    <x v="0"/>
    <x v="0"/>
    <s v="Normal"/>
    <x v="1"/>
    <x v="0"/>
    <x v="2"/>
  </r>
  <r>
    <n v="49"/>
    <x v="0"/>
    <n v="2"/>
    <n v="118"/>
    <n v="149"/>
    <n v="0"/>
    <n v="0"/>
    <n v="126"/>
    <n v="0"/>
    <n v="0.8"/>
    <n v="2"/>
    <n v="3"/>
    <n v="2"/>
    <n v="0"/>
    <x v="0"/>
    <x v="0"/>
    <x v="2"/>
    <s v="Normal"/>
    <x v="0"/>
    <x v="2"/>
    <x v="3"/>
  </r>
  <r>
    <n v="53"/>
    <x v="1"/>
    <n v="0"/>
    <n v="138"/>
    <n v="234"/>
    <n v="0"/>
    <n v="0"/>
    <n v="160"/>
    <n v="0"/>
    <n v="0"/>
    <n v="2"/>
    <n v="0"/>
    <n v="2"/>
    <n v="1"/>
    <x v="1"/>
    <x v="1"/>
    <x v="0"/>
    <s v="Normal"/>
    <x v="0"/>
    <x v="2"/>
    <x v="2"/>
  </r>
  <r>
    <n v="52"/>
    <x v="0"/>
    <n v="2"/>
    <n v="172"/>
    <n v="199"/>
    <n v="1"/>
    <n v="1"/>
    <n v="162"/>
    <n v="0"/>
    <n v="0.5"/>
    <n v="2"/>
    <n v="0"/>
    <n v="3"/>
    <n v="1"/>
    <x v="0"/>
    <x v="1"/>
    <x v="2"/>
    <s v="High"/>
    <x v="0"/>
    <x v="0"/>
    <x v="1"/>
  </r>
  <r>
    <n v="51"/>
    <x v="0"/>
    <n v="3"/>
    <n v="125"/>
    <n v="213"/>
    <n v="0"/>
    <n v="0"/>
    <n v="125"/>
    <n v="1"/>
    <n v="1.4"/>
    <n v="2"/>
    <n v="1"/>
    <n v="2"/>
    <n v="1"/>
    <x v="0"/>
    <x v="1"/>
    <x v="3"/>
    <s v="Normal"/>
    <x v="1"/>
    <x v="0"/>
    <x v="0"/>
  </r>
  <r>
    <n v="51"/>
    <x v="0"/>
    <n v="0"/>
    <n v="140"/>
    <n v="261"/>
    <n v="0"/>
    <n v="0"/>
    <n v="186"/>
    <n v="1"/>
    <n v="0"/>
    <n v="2"/>
    <n v="0"/>
    <n v="2"/>
    <n v="1"/>
    <x v="0"/>
    <x v="1"/>
    <x v="0"/>
    <s v="Normal"/>
    <x v="1"/>
    <x v="0"/>
    <x v="1"/>
  </r>
  <r>
    <n v="70"/>
    <x v="0"/>
    <n v="0"/>
    <n v="145"/>
    <n v="174"/>
    <n v="0"/>
    <n v="1"/>
    <n v="125"/>
    <n v="1"/>
    <n v="2.6"/>
    <n v="0"/>
    <n v="0"/>
    <n v="3"/>
    <n v="0"/>
    <x v="0"/>
    <x v="0"/>
    <x v="0"/>
    <s v="Normal"/>
    <x v="1"/>
    <x v="0"/>
    <x v="1"/>
  </r>
  <r>
    <n v="35"/>
    <x v="1"/>
    <n v="0"/>
    <n v="138"/>
    <n v="183"/>
    <n v="0"/>
    <n v="1"/>
    <n v="182"/>
    <n v="0"/>
    <n v="1.4"/>
    <n v="2"/>
    <n v="0"/>
    <n v="2"/>
    <n v="1"/>
    <x v="1"/>
    <x v="1"/>
    <x v="0"/>
    <s v="Normal"/>
    <x v="0"/>
    <x v="1"/>
    <x v="2"/>
  </r>
  <r>
    <n v="58"/>
    <x v="0"/>
    <n v="2"/>
    <n v="112"/>
    <n v="230"/>
    <n v="0"/>
    <n v="0"/>
    <n v="165"/>
    <n v="0"/>
    <n v="2.5"/>
    <n v="1"/>
    <n v="1"/>
    <n v="3"/>
    <n v="0"/>
    <x v="0"/>
    <x v="0"/>
    <x v="2"/>
    <s v="Normal"/>
    <x v="0"/>
    <x v="3"/>
    <x v="3"/>
  </r>
  <r>
    <n v="59"/>
    <x v="0"/>
    <n v="3"/>
    <n v="160"/>
    <n v="273"/>
    <n v="0"/>
    <n v="0"/>
    <n v="125"/>
    <n v="0"/>
    <n v="0"/>
    <n v="2"/>
    <n v="0"/>
    <n v="2"/>
    <n v="0"/>
    <x v="0"/>
    <x v="0"/>
    <x v="3"/>
    <s v="Normal"/>
    <x v="0"/>
    <x v="0"/>
    <x v="1"/>
  </r>
  <r>
    <n v="60"/>
    <x v="0"/>
    <n v="0"/>
    <n v="140"/>
    <n v="293"/>
    <n v="0"/>
    <n v="0"/>
    <n v="170"/>
    <n v="0"/>
    <n v="1.2"/>
    <n v="1"/>
    <n v="2"/>
    <n v="3"/>
    <n v="0"/>
    <x v="0"/>
    <x v="0"/>
    <x v="0"/>
    <s v="Normal"/>
    <x v="0"/>
    <x v="0"/>
    <x v="1"/>
  </r>
  <r>
    <n v="56"/>
    <x v="0"/>
    <n v="0"/>
    <n v="132"/>
    <n v="184"/>
    <n v="0"/>
    <n v="0"/>
    <n v="105"/>
    <n v="1"/>
    <n v="2.1"/>
    <n v="1"/>
    <n v="1"/>
    <n v="1"/>
    <n v="0"/>
    <x v="0"/>
    <x v="0"/>
    <x v="0"/>
    <s v="Normal"/>
    <x v="1"/>
    <x v="1"/>
    <x v="2"/>
  </r>
  <r>
    <n v="35"/>
    <x v="1"/>
    <n v="0"/>
    <n v="138"/>
    <n v="183"/>
    <n v="0"/>
    <n v="1"/>
    <n v="182"/>
    <n v="0"/>
    <n v="1.4"/>
    <n v="2"/>
    <n v="0"/>
    <n v="2"/>
    <n v="1"/>
    <x v="1"/>
    <x v="1"/>
    <x v="0"/>
    <s v="Normal"/>
    <x v="0"/>
    <x v="0"/>
    <x v="2"/>
  </r>
  <r>
    <n v="61"/>
    <x v="0"/>
    <n v="0"/>
    <n v="138"/>
    <n v="166"/>
    <n v="0"/>
    <n v="0"/>
    <n v="125"/>
    <n v="1"/>
    <n v="3.6"/>
    <n v="1"/>
    <n v="1"/>
    <n v="2"/>
    <n v="0"/>
    <x v="0"/>
    <x v="0"/>
    <x v="0"/>
    <s v="Normal"/>
    <x v="1"/>
    <x v="3"/>
    <x v="2"/>
  </r>
  <r>
    <n v="58"/>
    <x v="1"/>
    <n v="3"/>
    <n v="150"/>
    <n v="283"/>
    <n v="1"/>
    <n v="0"/>
    <n v="162"/>
    <n v="0"/>
    <n v="1"/>
    <n v="2"/>
    <n v="0"/>
    <n v="2"/>
    <n v="1"/>
    <x v="1"/>
    <x v="1"/>
    <x v="3"/>
    <s v="High"/>
    <x v="0"/>
    <x v="1"/>
    <x v="1"/>
  </r>
  <r>
    <n v="52"/>
    <x v="0"/>
    <n v="0"/>
    <n v="128"/>
    <n v="255"/>
    <n v="0"/>
    <n v="1"/>
    <n v="161"/>
    <n v="1"/>
    <n v="0"/>
    <n v="2"/>
    <n v="1"/>
    <n v="3"/>
    <n v="0"/>
    <x v="0"/>
    <x v="0"/>
    <x v="0"/>
    <s v="Normal"/>
    <x v="1"/>
    <x v="0"/>
    <x v="0"/>
  </r>
  <r>
    <n v="58"/>
    <x v="0"/>
    <n v="1"/>
    <n v="120"/>
    <n v="284"/>
    <n v="0"/>
    <n v="0"/>
    <n v="160"/>
    <n v="0"/>
    <n v="1.8"/>
    <n v="1"/>
    <n v="0"/>
    <n v="2"/>
    <n v="0"/>
    <x v="0"/>
    <x v="0"/>
    <x v="1"/>
    <s v="Normal"/>
    <x v="0"/>
    <x v="0"/>
    <x v="0"/>
  </r>
  <r>
    <n v="37"/>
    <x v="0"/>
    <n v="2"/>
    <n v="130"/>
    <n v="250"/>
    <n v="0"/>
    <n v="1"/>
    <n v="187"/>
    <n v="0"/>
    <n v="3.5"/>
    <n v="0"/>
    <n v="0"/>
    <n v="2"/>
    <n v="1"/>
    <x v="0"/>
    <x v="1"/>
    <x v="2"/>
    <s v="Normal"/>
    <x v="0"/>
    <x v="0"/>
    <x v="2"/>
  </r>
  <r>
    <n v="52"/>
    <x v="0"/>
    <n v="0"/>
    <n v="128"/>
    <n v="255"/>
    <n v="0"/>
    <n v="1"/>
    <n v="161"/>
    <n v="1"/>
    <n v="0"/>
    <n v="2"/>
    <n v="1"/>
    <n v="3"/>
    <n v="0"/>
    <x v="0"/>
    <x v="0"/>
    <x v="0"/>
    <s v="Normal"/>
    <x v="1"/>
    <x v="3"/>
    <x v="0"/>
  </r>
  <r>
    <n v="67"/>
    <x v="0"/>
    <n v="0"/>
    <n v="120"/>
    <n v="229"/>
    <n v="0"/>
    <n v="0"/>
    <n v="129"/>
    <n v="1"/>
    <n v="2.6"/>
    <n v="1"/>
    <n v="2"/>
    <n v="3"/>
    <n v="0"/>
    <x v="0"/>
    <x v="0"/>
    <x v="0"/>
    <s v="Normal"/>
    <x v="1"/>
    <x v="0"/>
    <x v="0"/>
  </r>
  <r>
    <n v="65"/>
    <x v="0"/>
    <n v="3"/>
    <n v="138"/>
    <n v="282"/>
    <n v="1"/>
    <n v="0"/>
    <n v="174"/>
    <n v="0"/>
    <n v="1.4"/>
    <n v="1"/>
    <n v="1"/>
    <n v="2"/>
    <n v="0"/>
    <x v="0"/>
    <x v="0"/>
    <x v="3"/>
    <s v="High"/>
    <x v="0"/>
    <x v="1"/>
    <x v="2"/>
  </r>
  <r>
    <n v="46"/>
    <x v="0"/>
    <n v="1"/>
    <n v="101"/>
    <n v="197"/>
    <n v="1"/>
    <n v="1"/>
    <n v="156"/>
    <n v="0"/>
    <n v="0"/>
    <n v="2"/>
    <n v="0"/>
    <n v="3"/>
    <n v="1"/>
    <x v="0"/>
    <x v="1"/>
    <x v="1"/>
    <s v="High"/>
    <x v="0"/>
    <x v="1"/>
    <x v="3"/>
  </r>
  <r>
    <n v="68"/>
    <x v="1"/>
    <n v="2"/>
    <n v="120"/>
    <n v="211"/>
    <n v="0"/>
    <n v="0"/>
    <n v="115"/>
    <n v="0"/>
    <n v="1.5"/>
    <n v="1"/>
    <n v="0"/>
    <n v="2"/>
    <n v="1"/>
    <x v="1"/>
    <x v="1"/>
    <x v="2"/>
    <s v="Normal"/>
    <x v="0"/>
    <x v="2"/>
    <x v="0"/>
  </r>
  <r>
    <n v="43"/>
    <x v="0"/>
    <n v="0"/>
    <n v="115"/>
    <n v="303"/>
    <n v="0"/>
    <n v="1"/>
    <n v="181"/>
    <n v="0"/>
    <n v="1.2"/>
    <n v="1"/>
    <n v="0"/>
    <n v="2"/>
    <n v="1"/>
    <x v="0"/>
    <x v="1"/>
    <x v="0"/>
    <s v="Normal"/>
    <x v="0"/>
    <x v="1"/>
    <x v="3"/>
  </r>
  <r>
    <n v="68"/>
    <x v="1"/>
    <n v="2"/>
    <n v="120"/>
    <n v="211"/>
    <n v="0"/>
    <n v="0"/>
    <n v="115"/>
    <n v="0"/>
    <n v="1.5"/>
    <n v="1"/>
    <n v="0"/>
    <n v="2"/>
    <n v="1"/>
    <x v="1"/>
    <x v="1"/>
    <x v="2"/>
    <s v="Normal"/>
    <x v="0"/>
    <x v="2"/>
    <x v="0"/>
  </r>
  <r>
    <n v="51"/>
    <x v="0"/>
    <n v="0"/>
    <n v="140"/>
    <n v="299"/>
    <n v="0"/>
    <n v="1"/>
    <n v="173"/>
    <n v="1"/>
    <n v="1.6"/>
    <n v="2"/>
    <n v="0"/>
    <n v="3"/>
    <n v="0"/>
    <x v="0"/>
    <x v="0"/>
    <x v="0"/>
    <s v="Normal"/>
    <x v="1"/>
    <x v="1"/>
    <x v="1"/>
  </r>
  <r>
    <n v="52"/>
    <x v="0"/>
    <n v="0"/>
    <n v="112"/>
    <n v="230"/>
    <n v="0"/>
    <n v="1"/>
    <n v="160"/>
    <n v="0"/>
    <n v="0"/>
    <n v="2"/>
    <n v="1"/>
    <n v="2"/>
    <n v="0"/>
    <x v="0"/>
    <x v="0"/>
    <x v="0"/>
    <s v="Normal"/>
    <x v="0"/>
    <x v="0"/>
    <x v="3"/>
  </r>
  <r>
    <n v="64"/>
    <x v="0"/>
    <n v="2"/>
    <n v="140"/>
    <n v="335"/>
    <n v="0"/>
    <n v="1"/>
    <n v="158"/>
    <n v="0"/>
    <n v="0"/>
    <n v="2"/>
    <n v="0"/>
    <n v="2"/>
    <n v="0"/>
    <x v="0"/>
    <x v="0"/>
    <x v="2"/>
    <s v="Normal"/>
    <x v="0"/>
    <x v="0"/>
    <x v="1"/>
  </r>
  <r>
    <n v="59"/>
    <x v="0"/>
    <n v="3"/>
    <n v="170"/>
    <n v="288"/>
    <n v="0"/>
    <n v="0"/>
    <n v="159"/>
    <n v="0"/>
    <n v="0.2"/>
    <n v="1"/>
    <n v="0"/>
    <n v="3"/>
    <n v="0"/>
    <x v="0"/>
    <x v="0"/>
    <x v="3"/>
    <s v="Normal"/>
    <x v="0"/>
    <x v="1"/>
    <x v="1"/>
  </r>
  <r>
    <n v="52"/>
    <x v="0"/>
    <n v="0"/>
    <n v="125"/>
    <n v="212"/>
    <n v="0"/>
    <n v="1"/>
    <n v="168"/>
    <n v="0"/>
    <n v="1"/>
    <n v="2"/>
    <n v="2"/>
    <n v="3"/>
    <n v="0"/>
    <x v="0"/>
    <x v="0"/>
    <x v="0"/>
    <s v="Normal"/>
    <x v="0"/>
    <x v="0"/>
    <x v="0"/>
  </r>
  <r>
    <n v="59"/>
    <x v="0"/>
    <n v="3"/>
    <n v="160"/>
    <n v="273"/>
    <n v="0"/>
    <n v="0"/>
    <n v="125"/>
    <n v="0"/>
    <n v="0"/>
    <n v="2"/>
    <n v="0"/>
    <n v="2"/>
    <n v="0"/>
    <x v="0"/>
    <x v="0"/>
    <x v="3"/>
    <s v="Normal"/>
    <x v="0"/>
    <x v="0"/>
    <x v="1"/>
  </r>
  <r>
    <n v="60"/>
    <x v="1"/>
    <n v="3"/>
    <n v="150"/>
    <n v="240"/>
    <n v="0"/>
    <n v="1"/>
    <n v="171"/>
    <n v="0"/>
    <n v="0.9"/>
    <n v="2"/>
    <n v="0"/>
    <n v="2"/>
    <n v="1"/>
    <x v="1"/>
    <x v="1"/>
    <x v="3"/>
    <s v="Normal"/>
    <x v="0"/>
    <x v="0"/>
    <x v="1"/>
  </r>
  <r>
    <n v="41"/>
    <x v="0"/>
    <n v="2"/>
    <n v="112"/>
    <n v="250"/>
    <n v="0"/>
    <n v="1"/>
    <n v="179"/>
    <n v="0"/>
    <n v="0"/>
    <n v="2"/>
    <n v="0"/>
    <n v="2"/>
    <n v="1"/>
    <x v="0"/>
    <x v="1"/>
    <x v="2"/>
    <s v="Normal"/>
    <x v="0"/>
    <x v="1"/>
    <x v="3"/>
  </r>
  <r>
    <n v="41"/>
    <x v="0"/>
    <n v="1"/>
    <n v="110"/>
    <n v="235"/>
    <n v="0"/>
    <n v="1"/>
    <n v="153"/>
    <n v="0"/>
    <n v="0"/>
    <n v="2"/>
    <n v="0"/>
    <n v="2"/>
    <n v="1"/>
    <x v="0"/>
    <x v="1"/>
    <x v="1"/>
    <s v="Normal"/>
    <x v="0"/>
    <x v="2"/>
    <x v="3"/>
  </r>
  <r>
    <n v="56"/>
    <x v="0"/>
    <n v="1"/>
    <n v="120"/>
    <n v="240"/>
    <n v="0"/>
    <n v="1"/>
    <n v="169"/>
    <n v="0"/>
    <n v="0"/>
    <n v="0"/>
    <n v="0"/>
    <n v="2"/>
    <n v="1"/>
    <x v="0"/>
    <x v="1"/>
    <x v="1"/>
    <s v="Normal"/>
    <x v="0"/>
    <x v="2"/>
    <x v="0"/>
  </r>
  <r>
    <n v="56"/>
    <x v="0"/>
    <n v="1"/>
    <n v="120"/>
    <n v="236"/>
    <n v="0"/>
    <n v="1"/>
    <n v="178"/>
    <n v="0"/>
    <n v="0.8"/>
    <n v="2"/>
    <n v="0"/>
    <n v="2"/>
    <n v="1"/>
    <x v="0"/>
    <x v="1"/>
    <x v="1"/>
    <s v="Normal"/>
    <x v="0"/>
    <x v="0"/>
    <x v="0"/>
  </r>
  <r>
    <n v="48"/>
    <x v="1"/>
    <n v="2"/>
    <n v="130"/>
    <n v="275"/>
    <n v="0"/>
    <n v="1"/>
    <n v="139"/>
    <n v="0"/>
    <n v="0.2"/>
    <n v="2"/>
    <n v="0"/>
    <n v="2"/>
    <n v="1"/>
    <x v="1"/>
    <x v="1"/>
    <x v="2"/>
    <s v="Normal"/>
    <x v="0"/>
    <x v="0"/>
    <x v="2"/>
  </r>
  <r>
    <n v="39"/>
    <x v="0"/>
    <n v="2"/>
    <n v="140"/>
    <n v="321"/>
    <n v="0"/>
    <n v="0"/>
    <n v="182"/>
    <n v="0"/>
    <n v="0"/>
    <n v="2"/>
    <n v="0"/>
    <n v="2"/>
    <n v="1"/>
    <x v="0"/>
    <x v="1"/>
    <x v="2"/>
    <s v="Normal"/>
    <x v="0"/>
    <x v="2"/>
    <x v="1"/>
  </r>
  <r>
    <n v="64"/>
    <x v="0"/>
    <n v="3"/>
    <n v="170"/>
    <n v="227"/>
    <n v="0"/>
    <n v="0"/>
    <n v="155"/>
    <n v="0"/>
    <n v="0.6"/>
    <n v="1"/>
    <n v="0"/>
    <n v="3"/>
    <n v="1"/>
    <x v="0"/>
    <x v="1"/>
    <x v="3"/>
    <s v="Normal"/>
    <x v="0"/>
    <x v="3"/>
    <x v="1"/>
  </r>
  <r>
    <n v="57"/>
    <x v="0"/>
    <n v="0"/>
    <n v="140"/>
    <n v="192"/>
    <n v="0"/>
    <n v="1"/>
    <n v="148"/>
    <n v="0"/>
    <n v="0.4"/>
    <n v="1"/>
    <n v="0"/>
    <n v="1"/>
    <n v="1"/>
    <x v="0"/>
    <x v="1"/>
    <x v="0"/>
    <s v="Normal"/>
    <x v="0"/>
    <x v="1"/>
    <x v="1"/>
  </r>
  <r>
    <n v="59"/>
    <x v="0"/>
    <n v="3"/>
    <n v="160"/>
    <n v="273"/>
    <n v="0"/>
    <n v="0"/>
    <n v="125"/>
    <n v="0"/>
    <n v="0"/>
    <n v="2"/>
    <n v="0"/>
    <n v="2"/>
    <n v="0"/>
    <x v="0"/>
    <x v="0"/>
    <x v="3"/>
    <s v="Normal"/>
    <x v="0"/>
    <x v="0"/>
    <x v="1"/>
  </r>
  <r>
    <n v="60"/>
    <x v="0"/>
    <n v="0"/>
    <n v="130"/>
    <n v="206"/>
    <n v="0"/>
    <n v="0"/>
    <n v="132"/>
    <n v="1"/>
    <n v="2.4"/>
    <n v="1"/>
    <n v="2"/>
    <n v="3"/>
    <n v="0"/>
    <x v="0"/>
    <x v="0"/>
    <x v="0"/>
    <s v="Normal"/>
    <x v="1"/>
    <x v="0"/>
    <x v="2"/>
  </r>
  <r>
    <n v="61"/>
    <x v="0"/>
    <n v="0"/>
    <n v="140"/>
    <n v="207"/>
    <n v="0"/>
    <n v="0"/>
    <n v="138"/>
    <n v="1"/>
    <n v="1.9"/>
    <n v="2"/>
    <n v="1"/>
    <n v="3"/>
    <n v="0"/>
    <x v="0"/>
    <x v="0"/>
    <x v="0"/>
    <s v="Normal"/>
    <x v="1"/>
    <x v="1"/>
    <x v="1"/>
  </r>
  <r>
    <n v="43"/>
    <x v="1"/>
    <n v="2"/>
    <n v="122"/>
    <n v="213"/>
    <n v="0"/>
    <n v="1"/>
    <n v="165"/>
    <n v="0"/>
    <n v="0.2"/>
    <n v="1"/>
    <n v="0"/>
    <n v="2"/>
    <n v="1"/>
    <x v="1"/>
    <x v="1"/>
    <x v="2"/>
    <s v="Normal"/>
    <x v="0"/>
    <x v="1"/>
    <x v="0"/>
  </r>
  <r>
    <n v="54"/>
    <x v="0"/>
    <n v="0"/>
    <n v="120"/>
    <n v="188"/>
    <n v="0"/>
    <n v="1"/>
    <n v="113"/>
    <n v="0"/>
    <n v="1.4"/>
    <n v="1"/>
    <n v="1"/>
    <n v="3"/>
    <n v="0"/>
    <x v="0"/>
    <x v="0"/>
    <x v="0"/>
    <s v="Normal"/>
    <x v="0"/>
    <x v="2"/>
    <x v="0"/>
  </r>
  <r>
    <n v="59"/>
    <x v="0"/>
    <n v="0"/>
    <n v="138"/>
    <n v="271"/>
    <n v="0"/>
    <n v="0"/>
    <n v="182"/>
    <n v="0"/>
    <n v="0"/>
    <n v="2"/>
    <n v="0"/>
    <n v="2"/>
    <n v="1"/>
    <x v="0"/>
    <x v="1"/>
    <x v="0"/>
    <s v="Normal"/>
    <x v="0"/>
    <x v="0"/>
    <x v="2"/>
  </r>
  <r>
    <n v="57"/>
    <x v="0"/>
    <n v="0"/>
    <n v="132"/>
    <n v="207"/>
    <n v="0"/>
    <n v="1"/>
    <n v="168"/>
    <n v="1"/>
    <n v="0"/>
    <n v="2"/>
    <n v="0"/>
    <n v="3"/>
    <n v="1"/>
    <x v="0"/>
    <x v="1"/>
    <x v="0"/>
    <s v="Normal"/>
    <x v="1"/>
    <x v="0"/>
    <x v="2"/>
  </r>
  <r>
    <n v="57"/>
    <x v="0"/>
    <n v="1"/>
    <n v="154"/>
    <n v="232"/>
    <n v="0"/>
    <n v="0"/>
    <n v="164"/>
    <n v="0"/>
    <n v="0"/>
    <n v="2"/>
    <n v="1"/>
    <n v="2"/>
    <n v="0"/>
    <x v="0"/>
    <x v="0"/>
    <x v="1"/>
    <s v="Normal"/>
    <x v="0"/>
    <x v="0"/>
    <x v="1"/>
  </r>
  <r>
    <n v="57"/>
    <x v="0"/>
    <n v="0"/>
    <n v="130"/>
    <n v="131"/>
    <n v="0"/>
    <n v="1"/>
    <n v="115"/>
    <n v="1"/>
    <n v="1.2"/>
    <n v="1"/>
    <n v="1"/>
    <n v="3"/>
    <n v="0"/>
    <x v="0"/>
    <x v="0"/>
    <x v="0"/>
    <s v="Normal"/>
    <x v="1"/>
    <x v="0"/>
    <x v="2"/>
  </r>
  <r>
    <n v="48"/>
    <x v="0"/>
    <n v="0"/>
    <n v="124"/>
    <n v="274"/>
    <n v="0"/>
    <n v="0"/>
    <n v="166"/>
    <n v="0"/>
    <n v="0.5"/>
    <n v="1"/>
    <n v="0"/>
    <n v="3"/>
    <n v="0"/>
    <x v="0"/>
    <x v="0"/>
    <x v="0"/>
    <s v="Normal"/>
    <x v="0"/>
    <x v="0"/>
    <x v="0"/>
  </r>
  <r>
    <n v="70"/>
    <x v="0"/>
    <n v="0"/>
    <n v="145"/>
    <n v="174"/>
    <n v="0"/>
    <n v="1"/>
    <n v="125"/>
    <n v="1"/>
    <n v="2.6"/>
    <n v="0"/>
    <n v="0"/>
    <n v="3"/>
    <n v="0"/>
    <x v="0"/>
    <x v="0"/>
    <x v="0"/>
    <s v="Normal"/>
    <x v="1"/>
    <x v="2"/>
    <x v="1"/>
  </r>
  <r>
    <n v="57"/>
    <x v="0"/>
    <n v="0"/>
    <n v="165"/>
    <n v="289"/>
    <n v="1"/>
    <n v="0"/>
    <n v="124"/>
    <n v="0"/>
    <n v="1"/>
    <n v="1"/>
    <n v="3"/>
    <n v="3"/>
    <n v="0"/>
    <x v="0"/>
    <x v="0"/>
    <x v="0"/>
    <s v="High"/>
    <x v="0"/>
    <x v="1"/>
    <x v="1"/>
  </r>
  <r>
    <n v="61"/>
    <x v="0"/>
    <n v="0"/>
    <n v="120"/>
    <n v="260"/>
    <n v="0"/>
    <n v="1"/>
    <n v="140"/>
    <n v="1"/>
    <n v="3.6"/>
    <n v="1"/>
    <n v="1"/>
    <n v="3"/>
    <n v="0"/>
    <x v="0"/>
    <x v="0"/>
    <x v="0"/>
    <s v="Normal"/>
    <x v="1"/>
    <x v="0"/>
    <x v="0"/>
  </r>
  <r>
    <n v="57"/>
    <x v="0"/>
    <n v="0"/>
    <n v="110"/>
    <n v="201"/>
    <n v="0"/>
    <n v="1"/>
    <n v="126"/>
    <n v="1"/>
    <n v="1.5"/>
    <n v="1"/>
    <n v="0"/>
    <n v="1"/>
    <n v="1"/>
    <x v="0"/>
    <x v="1"/>
    <x v="0"/>
    <s v="Normal"/>
    <x v="1"/>
    <x v="1"/>
    <x v="3"/>
  </r>
  <r>
    <n v="60"/>
    <x v="1"/>
    <n v="0"/>
    <n v="150"/>
    <n v="258"/>
    <n v="0"/>
    <n v="0"/>
    <n v="157"/>
    <n v="0"/>
    <n v="2.6"/>
    <n v="1"/>
    <n v="2"/>
    <n v="3"/>
    <n v="0"/>
    <x v="1"/>
    <x v="0"/>
    <x v="0"/>
    <s v="Normal"/>
    <x v="0"/>
    <x v="0"/>
    <x v="1"/>
  </r>
  <r>
    <n v="63"/>
    <x v="1"/>
    <n v="0"/>
    <n v="150"/>
    <n v="407"/>
    <n v="0"/>
    <n v="0"/>
    <n v="154"/>
    <n v="0"/>
    <n v="4"/>
    <n v="1"/>
    <n v="3"/>
    <n v="3"/>
    <n v="0"/>
    <x v="1"/>
    <x v="0"/>
    <x v="0"/>
    <s v="Normal"/>
    <x v="0"/>
    <x v="1"/>
    <x v="1"/>
  </r>
  <r>
    <n v="55"/>
    <x v="1"/>
    <n v="0"/>
    <n v="128"/>
    <n v="205"/>
    <n v="0"/>
    <n v="2"/>
    <n v="130"/>
    <n v="1"/>
    <n v="2"/>
    <n v="1"/>
    <n v="1"/>
    <n v="3"/>
    <n v="0"/>
    <x v="1"/>
    <x v="0"/>
    <x v="0"/>
    <s v="Normal"/>
    <x v="1"/>
    <x v="1"/>
    <x v="0"/>
  </r>
  <r>
    <n v="64"/>
    <x v="1"/>
    <n v="0"/>
    <n v="180"/>
    <n v="325"/>
    <n v="0"/>
    <n v="1"/>
    <n v="154"/>
    <n v="1"/>
    <n v="0"/>
    <n v="2"/>
    <n v="0"/>
    <n v="2"/>
    <n v="1"/>
    <x v="1"/>
    <x v="1"/>
    <x v="0"/>
    <s v="Normal"/>
    <x v="1"/>
    <x v="0"/>
    <x v="1"/>
  </r>
  <r>
    <n v="54"/>
    <x v="0"/>
    <n v="0"/>
    <n v="110"/>
    <n v="239"/>
    <n v="0"/>
    <n v="1"/>
    <n v="126"/>
    <n v="1"/>
    <n v="2.8"/>
    <n v="1"/>
    <n v="1"/>
    <n v="3"/>
    <n v="0"/>
    <x v="0"/>
    <x v="0"/>
    <x v="0"/>
    <s v="Normal"/>
    <x v="1"/>
    <x v="1"/>
    <x v="3"/>
  </r>
  <r>
    <n v="52"/>
    <x v="0"/>
    <n v="0"/>
    <n v="128"/>
    <n v="204"/>
    <n v="1"/>
    <n v="1"/>
    <n v="156"/>
    <n v="1"/>
    <n v="1"/>
    <n v="1"/>
    <n v="0"/>
    <n v="0"/>
    <n v="0"/>
    <x v="0"/>
    <x v="0"/>
    <x v="0"/>
    <s v="High"/>
    <x v="1"/>
    <x v="0"/>
    <x v="0"/>
  </r>
  <r>
    <n v="51"/>
    <x v="0"/>
    <n v="0"/>
    <n v="140"/>
    <n v="299"/>
    <n v="0"/>
    <n v="1"/>
    <n v="173"/>
    <n v="1"/>
    <n v="1.6"/>
    <n v="2"/>
    <n v="0"/>
    <n v="3"/>
    <n v="0"/>
    <x v="0"/>
    <x v="0"/>
    <x v="0"/>
    <s v="Normal"/>
    <x v="1"/>
    <x v="0"/>
    <x v="1"/>
  </r>
  <r>
    <n v="62"/>
    <x v="1"/>
    <n v="2"/>
    <n v="130"/>
    <n v="263"/>
    <n v="0"/>
    <n v="1"/>
    <n v="97"/>
    <n v="0"/>
    <n v="1.2"/>
    <n v="1"/>
    <n v="1"/>
    <n v="3"/>
    <n v="0"/>
    <x v="1"/>
    <x v="0"/>
    <x v="2"/>
    <s v="Normal"/>
    <x v="0"/>
    <x v="0"/>
    <x v="2"/>
  </r>
  <r>
    <n v="59"/>
    <x v="0"/>
    <n v="3"/>
    <n v="178"/>
    <n v="270"/>
    <n v="0"/>
    <n v="0"/>
    <n v="145"/>
    <n v="0"/>
    <n v="4.2"/>
    <n v="0"/>
    <n v="0"/>
    <n v="3"/>
    <n v="1"/>
    <x v="0"/>
    <x v="1"/>
    <x v="3"/>
    <s v="Normal"/>
    <x v="0"/>
    <x v="1"/>
    <x v="1"/>
  </r>
  <r>
    <n v="52"/>
    <x v="0"/>
    <n v="1"/>
    <n v="134"/>
    <n v="201"/>
    <n v="0"/>
    <n v="1"/>
    <n v="158"/>
    <n v="0"/>
    <n v="0.8"/>
    <n v="2"/>
    <n v="1"/>
    <n v="2"/>
    <n v="1"/>
    <x v="0"/>
    <x v="1"/>
    <x v="1"/>
    <s v="Normal"/>
    <x v="0"/>
    <x v="0"/>
    <x v="2"/>
  </r>
  <r>
    <n v="42"/>
    <x v="1"/>
    <n v="0"/>
    <n v="102"/>
    <n v="265"/>
    <n v="0"/>
    <n v="0"/>
    <n v="122"/>
    <n v="0"/>
    <n v="0.6"/>
    <n v="1"/>
    <n v="0"/>
    <n v="2"/>
    <n v="1"/>
    <x v="1"/>
    <x v="1"/>
    <x v="0"/>
    <s v="Normal"/>
    <x v="0"/>
    <x v="0"/>
    <x v="3"/>
  </r>
  <r>
    <n v="59"/>
    <x v="0"/>
    <n v="0"/>
    <n v="135"/>
    <n v="234"/>
    <n v="0"/>
    <n v="1"/>
    <n v="161"/>
    <n v="0"/>
    <n v="0.5"/>
    <n v="1"/>
    <n v="0"/>
    <n v="3"/>
    <n v="1"/>
    <x v="0"/>
    <x v="1"/>
    <x v="0"/>
    <s v="Normal"/>
    <x v="0"/>
    <x v="2"/>
    <x v="2"/>
  </r>
  <r>
    <n v="61"/>
    <x v="0"/>
    <n v="3"/>
    <n v="134"/>
    <n v="234"/>
    <n v="0"/>
    <n v="1"/>
    <n v="145"/>
    <n v="0"/>
    <n v="2.6"/>
    <n v="1"/>
    <n v="2"/>
    <n v="2"/>
    <n v="0"/>
    <x v="0"/>
    <x v="0"/>
    <x v="3"/>
    <s v="Normal"/>
    <x v="0"/>
    <x v="0"/>
    <x v="2"/>
  </r>
  <r>
    <n v="42"/>
    <x v="1"/>
    <n v="0"/>
    <n v="102"/>
    <n v="265"/>
    <n v="0"/>
    <n v="0"/>
    <n v="122"/>
    <n v="0"/>
    <n v="0.6"/>
    <n v="1"/>
    <n v="0"/>
    <n v="2"/>
    <n v="1"/>
    <x v="1"/>
    <x v="1"/>
    <x v="0"/>
    <s v="Normal"/>
    <x v="0"/>
    <x v="1"/>
    <x v="3"/>
  </r>
  <r>
    <n v="62"/>
    <x v="1"/>
    <n v="0"/>
    <n v="140"/>
    <n v="268"/>
    <n v="0"/>
    <n v="0"/>
    <n v="160"/>
    <n v="0"/>
    <n v="3.6"/>
    <n v="0"/>
    <n v="2"/>
    <n v="2"/>
    <n v="0"/>
    <x v="1"/>
    <x v="0"/>
    <x v="0"/>
    <s v="Normal"/>
    <x v="0"/>
    <x v="2"/>
    <x v="1"/>
  </r>
  <r>
    <n v="59"/>
    <x v="0"/>
    <n v="2"/>
    <n v="126"/>
    <n v="218"/>
    <n v="1"/>
    <n v="1"/>
    <n v="134"/>
    <n v="0"/>
    <n v="2.2000000000000002"/>
    <n v="1"/>
    <n v="1"/>
    <n v="1"/>
    <n v="0"/>
    <x v="0"/>
    <x v="0"/>
    <x v="2"/>
    <s v="High"/>
    <x v="0"/>
    <x v="1"/>
    <x v="0"/>
  </r>
  <r>
    <n v="55"/>
    <x v="0"/>
    <n v="1"/>
    <n v="130"/>
    <n v="262"/>
    <n v="0"/>
    <n v="1"/>
    <n v="155"/>
    <n v="0"/>
    <n v="0"/>
    <n v="2"/>
    <n v="0"/>
    <n v="2"/>
    <n v="1"/>
    <x v="0"/>
    <x v="1"/>
    <x v="1"/>
    <s v="Normal"/>
    <x v="0"/>
    <x v="0"/>
    <x v="2"/>
  </r>
  <r>
    <n v="64"/>
    <x v="0"/>
    <n v="0"/>
    <n v="120"/>
    <n v="246"/>
    <n v="0"/>
    <n v="0"/>
    <n v="96"/>
    <n v="1"/>
    <n v="2.2000000000000002"/>
    <n v="0"/>
    <n v="1"/>
    <n v="2"/>
    <n v="0"/>
    <x v="0"/>
    <x v="0"/>
    <x v="0"/>
    <s v="Normal"/>
    <x v="1"/>
    <x v="0"/>
    <x v="0"/>
  </r>
  <r>
    <n v="42"/>
    <x v="0"/>
    <n v="0"/>
    <n v="140"/>
    <n v="226"/>
    <n v="0"/>
    <n v="1"/>
    <n v="178"/>
    <n v="0"/>
    <n v="0"/>
    <n v="2"/>
    <n v="0"/>
    <n v="2"/>
    <n v="1"/>
    <x v="0"/>
    <x v="1"/>
    <x v="0"/>
    <s v="Normal"/>
    <x v="0"/>
    <x v="1"/>
    <x v="1"/>
  </r>
  <r>
    <n v="50"/>
    <x v="1"/>
    <n v="1"/>
    <n v="120"/>
    <n v="244"/>
    <n v="0"/>
    <n v="1"/>
    <n v="162"/>
    <n v="0"/>
    <n v="1.1000000000000001"/>
    <n v="2"/>
    <n v="0"/>
    <n v="2"/>
    <n v="1"/>
    <x v="1"/>
    <x v="1"/>
    <x v="1"/>
    <s v="Normal"/>
    <x v="0"/>
    <x v="2"/>
    <x v="0"/>
  </r>
  <r>
    <n v="62"/>
    <x v="0"/>
    <n v="0"/>
    <n v="120"/>
    <n v="267"/>
    <n v="0"/>
    <n v="1"/>
    <n v="99"/>
    <n v="1"/>
    <n v="1.8"/>
    <n v="1"/>
    <n v="2"/>
    <n v="3"/>
    <n v="0"/>
    <x v="0"/>
    <x v="0"/>
    <x v="0"/>
    <s v="Normal"/>
    <x v="1"/>
    <x v="0"/>
    <x v="0"/>
  </r>
  <r>
    <n v="50"/>
    <x v="0"/>
    <n v="0"/>
    <n v="144"/>
    <n v="200"/>
    <n v="0"/>
    <n v="0"/>
    <n v="126"/>
    <n v="1"/>
    <n v="0.9"/>
    <n v="1"/>
    <n v="0"/>
    <n v="3"/>
    <n v="0"/>
    <x v="0"/>
    <x v="0"/>
    <x v="0"/>
    <s v="Normal"/>
    <x v="1"/>
    <x v="1"/>
    <x v="1"/>
  </r>
  <r>
    <n v="50"/>
    <x v="0"/>
    <n v="2"/>
    <n v="140"/>
    <n v="233"/>
    <n v="0"/>
    <n v="1"/>
    <n v="163"/>
    <n v="0"/>
    <n v="0.6"/>
    <n v="1"/>
    <n v="1"/>
    <n v="3"/>
    <n v="0"/>
    <x v="0"/>
    <x v="0"/>
    <x v="2"/>
    <s v="Normal"/>
    <x v="0"/>
    <x v="0"/>
    <x v="1"/>
  </r>
  <r>
    <n v="58"/>
    <x v="1"/>
    <n v="1"/>
    <n v="136"/>
    <n v="319"/>
    <n v="1"/>
    <n v="0"/>
    <n v="152"/>
    <n v="0"/>
    <n v="0"/>
    <n v="2"/>
    <n v="2"/>
    <n v="2"/>
    <n v="0"/>
    <x v="1"/>
    <x v="0"/>
    <x v="1"/>
    <s v="High"/>
    <x v="0"/>
    <x v="0"/>
    <x v="2"/>
  </r>
  <r>
    <n v="35"/>
    <x v="0"/>
    <n v="0"/>
    <n v="120"/>
    <n v="198"/>
    <n v="0"/>
    <n v="1"/>
    <n v="130"/>
    <n v="1"/>
    <n v="1.6"/>
    <n v="1"/>
    <n v="0"/>
    <n v="3"/>
    <n v="0"/>
    <x v="0"/>
    <x v="0"/>
    <x v="0"/>
    <s v="Normal"/>
    <x v="1"/>
    <x v="0"/>
    <x v="0"/>
  </r>
  <r>
    <n v="45"/>
    <x v="0"/>
    <n v="0"/>
    <n v="104"/>
    <n v="208"/>
    <n v="0"/>
    <n v="0"/>
    <n v="148"/>
    <n v="1"/>
    <n v="3"/>
    <n v="1"/>
    <n v="0"/>
    <n v="2"/>
    <n v="1"/>
    <x v="0"/>
    <x v="1"/>
    <x v="0"/>
    <s v="Normal"/>
    <x v="1"/>
    <x v="3"/>
    <x v="3"/>
  </r>
  <r>
    <n v="66"/>
    <x v="0"/>
    <n v="0"/>
    <n v="112"/>
    <n v="212"/>
    <n v="0"/>
    <n v="0"/>
    <n v="132"/>
    <n v="1"/>
    <n v="0.1"/>
    <n v="2"/>
    <n v="1"/>
    <n v="2"/>
    <n v="0"/>
    <x v="0"/>
    <x v="0"/>
    <x v="0"/>
    <s v="Normal"/>
    <x v="1"/>
    <x v="2"/>
    <x v="3"/>
  </r>
  <r>
    <n v="46"/>
    <x v="0"/>
    <n v="0"/>
    <n v="120"/>
    <n v="249"/>
    <n v="0"/>
    <n v="0"/>
    <n v="144"/>
    <n v="0"/>
    <n v="0.8"/>
    <n v="2"/>
    <n v="0"/>
    <n v="3"/>
    <n v="0"/>
    <x v="0"/>
    <x v="0"/>
    <x v="0"/>
    <s v="Normal"/>
    <x v="0"/>
    <x v="1"/>
    <x v="0"/>
  </r>
  <r>
    <n v="65"/>
    <x v="0"/>
    <n v="0"/>
    <n v="135"/>
    <n v="254"/>
    <n v="0"/>
    <n v="0"/>
    <n v="127"/>
    <n v="0"/>
    <n v="2.8"/>
    <n v="1"/>
    <n v="1"/>
    <n v="3"/>
    <n v="0"/>
    <x v="0"/>
    <x v="0"/>
    <x v="0"/>
    <s v="Normal"/>
    <x v="0"/>
    <x v="2"/>
    <x v="2"/>
  </r>
  <r>
    <n v="47"/>
    <x v="0"/>
    <n v="2"/>
    <n v="130"/>
    <n v="253"/>
    <n v="0"/>
    <n v="1"/>
    <n v="179"/>
    <n v="0"/>
    <n v="0"/>
    <n v="2"/>
    <n v="0"/>
    <n v="2"/>
    <n v="1"/>
    <x v="0"/>
    <x v="1"/>
    <x v="2"/>
    <s v="Normal"/>
    <x v="0"/>
    <x v="1"/>
    <x v="2"/>
  </r>
  <r>
    <n v="59"/>
    <x v="0"/>
    <n v="3"/>
    <n v="134"/>
    <n v="204"/>
    <n v="0"/>
    <n v="1"/>
    <n v="162"/>
    <n v="0"/>
    <n v="0.8"/>
    <n v="2"/>
    <n v="2"/>
    <n v="2"/>
    <n v="0"/>
    <x v="0"/>
    <x v="0"/>
    <x v="3"/>
    <s v="Normal"/>
    <x v="0"/>
    <x v="2"/>
    <x v="2"/>
  </r>
  <r>
    <n v="38"/>
    <x v="0"/>
    <n v="3"/>
    <n v="120"/>
    <n v="231"/>
    <n v="0"/>
    <n v="1"/>
    <n v="182"/>
    <n v="1"/>
    <n v="3.8"/>
    <n v="1"/>
    <n v="0"/>
    <n v="3"/>
    <n v="0"/>
    <x v="0"/>
    <x v="0"/>
    <x v="3"/>
    <s v="Normal"/>
    <x v="1"/>
    <x v="0"/>
    <x v="0"/>
  </r>
  <r>
    <n v="39"/>
    <x v="0"/>
    <n v="0"/>
    <n v="118"/>
    <n v="219"/>
    <n v="0"/>
    <n v="1"/>
    <n v="140"/>
    <n v="0"/>
    <n v="1.2"/>
    <n v="1"/>
    <n v="0"/>
    <n v="3"/>
    <n v="0"/>
    <x v="0"/>
    <x v="0"/>
    <x v="0"/>
    <s v="Normal"/>
    <x v="0"/>
    <x v="3"/>
    <x v="3"/>
  </r>
  <r>
    <n v="58"/>
    <x v="0"/>
    <n v="0"/>
    <n v="146"/>
    <n v="218"/>
    <n v="0"/>
    <n v="1"/>
    <n v="105"/>
    <n v="0"/>
    <n v="2"/>
    <n v="1"/>
    <n v="1"/>
    <n v="3"/>
    <n v="0"/>
    <x v="0"/>
    <x v="0"/>
    <x v="0"/>
    <s v="Normal"/>
    <x v="0"/>
    <x v="3"/>
    <x v="1"/>
  </r>
  <r>
    <n v="44"/>
    <x v="0"/>
    <n v="1"/>
    <n v="120"/>
    <n v="263"/>
    <n v="0"/>
    <n v="1"/>
    <n v="173"/>
    <n v="0"/>
    <n v="0"/>
    <n v="2"/>
    <n v="0"/>
    <n v="3"/>
    <n v="1"/>
    <x v="0"/>
    <x v="1"/>
    <x v="1"/>
    <s v="Normal"/>
    <x v="0"/>
    <x v="0"/>
    <x v="0"/>
  </r>
  <r>
    <n v="54"/>
    <x v="0"/>
    <n v="0"/>
    <n v="140"/>
    <n v="239"/>
    <n v="0"/>
    <n v="1"/>
    <n v="160"/>
    <n v="0"/>
    <n v="1.2"/>
    <n v="2"/>
    <n v="0"/>
    <n v="2"/>
    <n v="1"/>
    <x v="0"/>
    <x v="1"/>
    <x v="0"/>
    <s v="Normal"/>
    <x v="0"/>
    <x v="2"/>
    <x v="1"/>
  </r>
  <r>
    <n v="61"/>
    <x v="1"/>
    <n v="0"/>
    <n v="130"/>
    <n v="330"/>
    <n v="0"/>
    <n v="0"/>
    <n v="169"/>
    <n v="0"/>
    <n v="0"/>
    <n v="2"/>
    <n v="0"/>
    <n v="2"/>
    <n v="0"/>
    <x v="1"/>
    <x v="0"/>
    <x v="0"/>
    <s v="Normal"/>
    <x v="0"/>
    <x v="0"/>
    <x v="2"/>
  </r>
  <r>
    <n v="57"/>
    <x v="0"/>
    <n v="0"/>
    <n v="130"/>
    <n v="131"/>
    <n v="0"/>
    <n v="1"/>
    <n v="115"/>
    <n v="1"/>
    <n v="1.2"/>
    <n v="1"/>
    <n v="1"/>
    <n v="3"/>
    <n v="0"/>
    <x v="0"/>
    <x v="0"/>
    <x v="0"/>
    <s v="Normal"/>
    <x v="1"/>
    <x v="1"/>
    <x v="2"/>
  </r>
  <r>
    <n v="54"/>
    <x v="0"/>
    <n v="0"/>
    <n v="110"/>
    <n v="206"/>
    <n v="0"/>
    <n v="0"/>
    <n v="108"/>
    <n v="1"/>
    <n v="0"/>
    <n v="1"/>
    <n v="1"/>
    <n v="2"/>
    <n v="0"/>
    <x v="0"/>
    <x v="0"/>
    <x v="0"/>
    <s v="Normal"/>
    <x v="1"/>
    <x v="0"/>
    <x v="3"/>
  </r>
  <r>
    <n v="42"/>
    <x v="0"/>
    <n v="2"/>
    <n v="120"/>
    <n v="240"/>
    <n v="1"/>
    <n v="1"/>
    <n v="194"/>
    <n v="0"/>
    <n v="0.8"/>
    <n v="0"/>
    <n v="0"/>
    <n v="3"/>
    <n v="1"/>
    <x v="0"/>
    <x v="1"/>
    <x v="2"/>
    <s v="High"/>
    <x v="0"/>
    <x v="0"/>
    <x v="0"/>
  </r>
  <r>
    <n v="54"/>
    <x v="0"/>
    <n v="0"/>
    <n v="124"/>
    <n v="266"/>
    <n v="0"/>
    <n v="0"/>
    <n v="109"/>
    <n v="1"/>
    <n v="2.2000000000000002"/>
    <n v="1"/>
    <n v="1"/>
    <n v="3"/>
    <n v="0"/>
    <x v="0"/>
    <x v="0"/>
    <x v="0"/>
    <s v="Normal"/>
    <x v="1"/>
    <x v="2"/>
    <x v="0"/>
  </r>
  <r>
    <n v="60"/>
    <x v="0"/>
    <n v="0"/>
    <n v="130"/>
    <n v="206"/>
    <n v="0"/>
    <n v="0"/>
    <n v="132"/>
    <n v="1"/>
    <n v="2.4"/>
    <n v="1"/>
    <n v="2"/>
    <n v="3"/>
    <n v="0"/>
    <x v="0"/>
    <x v="0"/>
    <x v="0"/>
    <s v="Normal"/>
    <x v="1"/>
    <x v="0"/>
    <x v="2"/>
  </r>
  <r>
    <n v="65"/>
    <x v="0"/>
    <n v="0"/>
    <n v="135"/>
    <n v="254"/>
    <n v="0"/>
    <n v="0"/>
    <n v="127"/>
    <n v="0"/>
    <n v="2.8"/>
    <n v="1"/>
    <n v="1"/>
    <n v="3"/>
    <n v="0"/>
    <x v="0"/>
    <x v="0"/>
    <x v="0"/>
    <s v="Normal"/>
    <x v="0"/>
    <x v="1"/>
    <x v="2"/>
  </r>
  <r>
    <n v="40"/>
    <x v="0"/>
    <n v="0"/>
    <n v="152"/>
    <n v="223"/>
    <n v="0"/>
    <n v="1"/>
    <n v="181"/>
    <n v="0"/>
    <n v="0"/>
    <n v="2"/>
    <n v="0"/>
    <n v="3"/>
    <n v="0"/>
    <x v="0"/>
    <x v="0"/>
    <x v="0"/>
    <s v="Normal"/>
    <x v="0"/>
    <x v="1"/>
    <x v="1"/>
  </r>
  <r>
    <n v="51"/>
    <x v="1"/>
    <n v="2"/>
    <n v="140"/>
    <n v="308"/>
    <n v="0"/>
    <n v="0"/>
    <n v="142"/>
    <n v="0"/>
    <n v="1.5"/>
    <n v="2"/>
    <n v="1"/>
    <n v="2"/>
    <n v="1"/>
    <x v="1"/>
    <x v="1"/>
    <x v="2"/>
    <s v="Normal"/>
    <x v="0"/>
    <x v="2"/>
    <x v="1"/>
  </r>
  <r>
    <n v="38"/>
    <x v="0"/>
    <n v="3"/>
    <n v="120"/>
    <n v="231"/>
    <n v="0"/>
    <n v="1"/>
    <n v="182"/>
    <n v="1"/>
    <n v="3.8"/>
    <n v="1"/>
    <n v="0"/>
    <n v="3"/>
    <n v="0"/>
    <x v="0"/>
    <x v="0"/>
    <x v="3"/>
    <s v="Normal"/>
    <x v="1"/>
    <x v="0"/>
    <x v="0"/>
  </r>
  <r>
    <n v="42"/>
    <x v="0"/>
    <n v="2"/>
    <n v="130"/>
    <n v="180"/>
    <n v="0"/>
    <n v="1"/>
    <n v="150"/>
    <n v="0"/>
    <n v="0"/>
    <n v="2"/>
    <n v="0"/>
    <n v="2"/>
    <n v="1"/>
    <x v="0"/>
    <x v="1"/>
    <x v="2"/>
    <s v="Normal"/>
    <x v="0"/>
    <x v="3"/>
    <x v="2"/>
  </r>
  <r>
    <n v="56"/>
    <x v="0"/>
    <n v="1"/>
    <n v="120"/>
    <n v="240"/>
    <n v="0"/>
    <n v="1"/>
    <n v="169"/>
    <n v="0"/>
    <n v="0"/>
    <n v="0"/>
    <n v="0"/>
    <n v="2"/>
    <n v="1"/>
    <x v="0"/>
    <x v="1"/>
    <x v="1"/>
    <s v="Normal"/>
    <x v="0"/>
    <x v="2"/>
    <x v="0"/>
  </r>
  <r>
    <n v="43"/>
    <x v="0"/>
    <n v="2"/>
    <n v="130"/>
    <n v="315"/>
    <n v="0"/>
    <n v="1"/>
    <n v="162"/>
    <n v="0"/>
    <n v="1.9"/>
    <n v="2"/>
    <n v="1"/>
    <n v="2"/>
    <n v="1"/>
    <x v="0"/>
    <x v="1"/>
    <x v="2"/>
    <s v="Normal"/>
    <x v="0"/>
    <x v="0"/>
    <x v="2"/>
  </r>
  <r>
    <n v="64"/>
    <x v="0"/>
    <n v="2"/>
    <n v="140"/>
    <n v="335"/>
    <n v="0"/>
    <n v="1"/>
    <n v="158"/>
    <n v="0"/>
    <n v="0"/>
    <n v="2"/>
    <n v="0"/>
    <n v="2"/>
    <n v="0"/>
    <x v="0"/>
    <x v="0"/>
    <x v="2"/>
    <s v="Normal"/>
    <x v="0"/>
    <x v="2"/>
    <x v="1"/>
  </r>
  <r>
    <n v="53"/>
    <x v="0"/>
    <n v="0"/>
    <n v="142"/>
    <n v="226"/>
    <n v="0"/>
    <n v="0"/>
    <n v="111"/>
    <n v="1"/>
    <n v="0"/>
    <n v="2"/>
    <n v="0"/>
    <n v="3"/>
    <n v="1"/>
    <x v="0"/>
    <x v="1"/>
    <x v="0"/>
    <s v="Normal"/>
    <x v="1"/>
    <x v="1"/>
    <x v="1"/>
  </r>
  <r>
    <n v="49"/>
    <x v="1"/>
    <n v="1"/>
    <n v="134"/>
    <n v="271"/>
    <n v="0"/>
    <n v="1"/>
    <n v="162"/>
    <n v="0"/>
    <n v="0"/>
    <n v="1"/>
    <n v="0"/>
    <n v="2"/>
    <n v="1"/>
    <x v="1"/>
    <x v="1"/>
    <x v="1"/>
    <s v="Normal"/>
    <x v="0"/>
    <x v="0"/>
    <x v="2"/>
  </r>
  <r>
    <n v="57"/>
    <x v="1"/>
    <n v="0"/>
    <n v="140"/>
    <n v="241"/>
    <n v="0"/>
    <n v="1"/>
    <n v="123"/>
    <n v="1"/>
    <n v="0.2"/>
    <n v="1"/>
    <n v="0"/>
    <n v="3"/>
    <n v="0"/>
    <x v="1"/>
    <x v="0"/>
    <x v="0"/>
    <s v="Normal"/>
    <x v="1"/>
    <x v="2"/>
    <x v="1"/>
  </r>
  <r>
    <n v="52"/>
    <x v="1"/>
    <n v="2"/>
    <n v="136"/>
    <n v="196"/>
    <n v="0"/>
    <n v="0"/>
    <n v="169"/>
    <n v="0"/>
    <n v="0.1"/>
    <n v="1"/>
    <n v="0"/>
    <n v="2"/>
    <n v="1"/>
    <x v="1"/>
    <x v="1"/>
    <x v="2"/>
    <s v="Normal"/>
    <x v="0"/>
    <x v="0"/>
    <x v="2"/>
  </r>
  <r>
    <n v="69"/>
    <x v="1"/>
    <n v="3"/>
    <n v="140"/>
    <n v="239"/>
    <n v="0"/>
    <n v="1"/>
    <n v="151"/>
    <n v="0"/>
    <n v="1.8"/>
    <n v="2"/>
    <n v="2"/>
    <n v="2"/>
    <n v="1"/>
    <x v="1"/>
    <x v="1"/>
    <x v="3"/>
    <s v="Normal"/>
    <x v="0"/>
    <x v="0"/>
    <x v="1"/>
  </r>
  <r>
    <n v="65"/>
    <x v="0"/>
    <n v="0"/>
    <n v="120"/>
    <n v="177"/>
    <n v="0"/>
    <n v="1"/>
    <n v="140"/>
    <n v="0"/>
    <n v="0.4"/>
    <n v="2"/>
    <n v="0"/>
    <n v="3"/>
    <n v="1"/>
    <x v="0"/>
    <x v="1"/>
    <x v="0"/>
    <s v="Normal"/>
    <x v="0"/>
    <x v="1"/>
    <x v="0"/>
  </r>
  <r>
    <n v="66"/>
    <x v="1"/>
    <n v="0"/>
    <n v="178"/>
    <n v="228"/>
    <n v="1"/>
    <n v="1"/>
    <n v="165"/>
    <n v="1"/>
    <n v="1"/>
    <n v="1"/>
    <n v="2"/>
    <n v="3"/>
    <n v="0"/>
    <x v="1"/>
    <x v="0"/>
    <x v="0"/>
    <s v="High"/>
    <x v="1"/>
    <x v="1"/>
    <x v="1"/>
  </r>
  <r>
    <n v="56"/>
    <x v="0"/>
    <n v="3"/>
    <n v="120"/>
    <n v="193"/>
    <n v="0"/>
    <n v="0"/>
    <n v="162"/>
    <n v="0"/>
    <n v="1.9"/>
    <n v="1"/>
    <n v="0"/>
    <n v="3"/>
    <n v="1"/>
    <x v="0"/>
    <x v="1"/>
    <x v="3"/>
    <s v="Normal"/>
    <x v="0"/>
    <x v="1"/>
    <x v="0"/>
  </r>
  <r>
    <n v="67"/>
    <x v="1"/>
    <n v="2"/>
    <n v="152"/>
    <n v="277"/>
    <n v="0"/>
    <n v="1"/>
    <n v="172"/>
    <n v="0"/>
    <n v="0"/>
    <n v="2"/>
    <n v="1"/>
    <n v="2"/>
    <n v="1"/>
    <x v="1"/>
    <x v="1"/>
    <x v="2"/>
    <s v="Normal"/>
    <x v="0"/>
    <x v="0"/>
    <x v="1"/>
  </r>
  <r>
    <n v="54"/>
    <x v="1"/>
    <n v="2"/>
    <n v="160"/>
    <n v="201"/>
    <n v="0"/>
    <n v="1"/>
    <n v="163"/>
    <n v="0"/>
    <n v="0"/>
    <n v="2"/>
    <n v="1"/>
    <n v="2"/>
    <n v="1"/>
    <x v="1"/>
    <x v="1"/>
    <x v="2"/>
    <s v="Normal"/>
    <x v="0"/>
    <x v="1"/>
    <x v="1"/>
  </r>
  <r>
    <n v="70"/>
    <x v="0"/>
    <n v="0"/>
    <n v="145"/>
    <n v="174"/>
    <n v="0"/>
    <n v="1"/>
    <n v="125"/>
    <n v="1"/>
    <n v="2.6"/>
    <n v="0"/>
    <n v="0"/>
    <n v="3"/>
    <n v="0"/>
    <x v="0"/>
    <x v="0"/>
    <x v="0"/>
    <s v="Normal"/>
    <x v="1"/>
    <x v="0"/>
    <x v="1"/>
  </r>
  <r>
    <n v="57"/>
    <x v="0"/>
    <n v="0"/>
    <n v="132"/>
    <n v="207"/>
    <n v="0"/>
    <n v="1"/>
    <n v="168"/>
    <n v="1"/>
    <n v="0"/>
    <n v="2"/>
    <n v="0"/>
    <n v="3"/>
    <n v="1"/>
    <x v="0"/>
    <x v="1"/>
    <x v="0"/>
    <s v="Normal"/>
    <x v="1"/>
    <x v="1"/>
    <x v="2"/>
  </r>
  <r>
    <n v="67"/>
    <x v="0"/>
    <n v="0"/>
    <n v="160"/>
    <n v="286"/>
    <n v="0"/>
    <n v="0"/>
    <n v="108"/>
    <n v="1"/>
    <n v="1.5"/>
    <n v="1"/>
    <n v="3"/>
    <n v="2"/>
    <n v="0"/>
    <x v="0"/>
    <x v="0"/>
    <x v="0"/>
    <s v="Normal"/>
    <x v="1"/>
    <x v="0"/>
    <x v="1"/>
  </r>
  <r>
    <n v="62"/>
    <x v="1"/>
    <n v="2"/>
    <n v="130"/>
    <n v="263"/>
    <n v="0"/>
    <n v="1"/>
    <n v="97"/>
    <n v="0"/>
    <n v="1.2"/>
    <n v="1"/>
    <n v="1"/>
    <n v="3"/>
    <n v="0"/>
    <x v="1"/>
    <x v="0"/>
    <x v="2"/>
    <s v="Normal"/>
    <x v="0"/>
    <x v="1"/>
    <x v="2"/>
  </r>
  <r>
    <n v="54"/>
    <x v="1"/>
    <n v="2"/>
    <n v="135"/>
    <n v="304"/>
    <n v="1"/>
    <n v="1"/>
    <n v="170"/>
    <n v="0"/>
    <n v="0"/>
    <n v="2"/>
    <n v="0"/>
    <n v="2"/>
    <n v="1"/>
    <x v="1"/>
    <x v="1"/>
    <x v="2"/>
    <s v="High"/>
    <x v="0"/>
    <x v="1"/>
    <x v="2"/>
  </r>
  <r>
    <n v="45"/>
    <x v="1"/>
    <n v="0"/>
    <n v="138"/>
    <n v="236"/>
    <n v="0"/>
    <n v="0"/>
    <n v="152"/>
    <n v="1"/>
    <n v="0.2"/>
    <n v="1"/>
    <n v="0"/>
    <n v="2"/>
    <n v="1"/>
    <x v="1"/>
    <x v="1"/>
    <x v="0"/>
    <s v="Normal"/>
    <x v="1"/>
    <x v="0"/>
    <x v="2"/>
  </r>
  <r>
    <n v="53"/>
    <x v="1"/>
    <n v="0"/>
    <n v="130"/>
    <n v="264"/>
    <n v="0"/>
    <n v="0"/>
    <n v="143"/>
    <n v="0"/>
    <n v="0.4"/>
    <n v="1"/>
    <n v="0"/>
    <n v="2"/>
    <n v="1"/>
    <x v="1"/>
    <x v="1"/>
    <x v="0"/>
    <s v="Normal"/>
    <x v="0"/>
    <x v="2"/>
    <x v="2"/>
  </r>
  <r>
    <n v="62"/>
    <x v="0"/>
    <n v="2"/>
    <n v="130"/>
    <n v="231"/>
    <n v="0"/>
    <n v="1"/>
    <n v="146"/>
    <n v="0"/>
    <n v="1.8"/>
    <n v="1"/>
    <n v="3"/>
    <n v="3"/>
    <n v="1"/>
    <x v="0"/>
    <x v="1"/>
    <x v="2"/>
    <s v="Normal"/>
    <x v="0"/>
    <x v="0"/>
    <x v="2"/>
  </r>
  <r>
    <n v="49"/>
    <x v="1"/>
    <n v="0"/>
    <n v="130"/>
    <n v="269"/>
    <n v="0"/>
    <n v="1"/>
    <n v="163"/>
    <n v="0"/>
    <n v="0"/>
    <n v="2"/>
    <n v="0"/>
    <n v="2"/>
    <n v="1"/>
    <x v="1"/>
    <x v="1"/>
    <x v="0"/>
    <s v="Normal"/>
    <x v="0"/>
    <x v="1"/>
    <x v="2"/>
  </r>
  <r>
    <n v="50"/>
    <x v="0"/>
    <n v="2"/>
    <n v="140"/>
    <n v="233"/>
    <n v="0"/>
    <n v="1"/>
    <n v="163"/>
    <n v="0"/>
    <n v="0.6"/>
    <n v="1"/>
    <n v="1"/>
    <n v="3"/>
    <n v="0"/>
    <x v="0"/>
    <x v="0"/>
    <x v="2"/>
    <s v="Normal"/>
    <x v="0"/>
    <x v="2"/>
    <x v="1"/>
  </r>
  <r>
    <n v="65"/>
    <x v="1"/>
    <n v="2"/>
    <n v="140"/>
    <n v="417"/>
    <n v="1"/>
    <n v="0"/>
    <n v="157"/>
    <n v="0"/>
    <n v="0.8"/>
    <n v="2"/>
    <n v="1"/>
    <n v="2"/>
    <n v="1"/>
    <x v="1"/>
    <x v="1"/>
    <x v="2"/>
    <s v="High"/>
    <x v="0"/>
    <x v="0"/>
    <x v="1"/>
  </r>
  <r>
    <n v="69"/>
    <x v="1"/>
    <n v="3"/>
    <n v="140"/>
    <n v="239"/>
    <n v="0"/>
    <n v="1"/>
    <n v="151"/>
    <n v="0"/>
    <n v="1.8"/>
    <n v="2"/>
    <n v="2"/>
    <n v="2"/>
    <n v="1"/>
    <x v="1"/>
    <x v="1"/>
    <x v="3"/>
    <s v="Normal"/>
    <x v="0"/>
    <x v="1"/>
    <x v="1"/>
  </r>
  <r>
    <n v="52"/>
    <x v="1"/>
    <n v="2"/>
    <n v="136"/>
    <n v="196"/>
    <n v="0"/>
    <n v="0"/>
    <n v="169"/>
    <n v="0"/>
    <n v="0.1"/>
    <n v="1"/>
    <n v="0"/>
    <n v="2"/>
    <n v="1"/>
    <x v="1"/>
    <x v="1"/>
    <x v="2"/>
    <s v="Normal"/>
    <x v="0"/>
    <x v="1"/>
    <x v="2"/>
  </r>
  <r>
    <n v="58"/>
    <x v="1"/>
    <n v="0"/>
    <n v="100"/>
    <n v="248"/>
    <n v="0"/>
    <n v="0"/>
    <n v="122"/>
    <n v="0"/>
    <n v="1"/>
    <n v="1"/>
    <n v="0"/>
    <n v="2"/>
    <n v="1"/>
    <x v="1"/>
    <x v="1"/>
    <x v="0"/>
    <s v="Normal"/>
    <x v="0"/>
    <x v="0"/>
    <x v="3"/>
  </r>
  <r>
    <n v="52"/>
    <x v="0"/>
    <n v="0"/>
    <n v="108"/>
    <n v="233"/>
    <n v="1"/>
    <n v="1"/>
    <n v="147"/>
    <n v="0"/>
    <n v="0.1"/>
    <n v="2"/>
    <n v="3"/>
    <n v="3"/>
    <n v="1"/>
    <x v="0"/>
    <x v="1"/>
    <x v="0"/>
    <s v="High"/>
    <x v="0"/>
    <x v="0"/>
    <x v="3"/>
  </r>
  <r>
    <n v="57"/>
    <x v="1"/>
    <n v="0"/>
    <n v="140"/>
    <n v="241"/>
    <n v="0"/>
    <n v="1"/>
    <n v="123"/>
    <n v="1"/>
    <n v="0.2"/>
    <n v="1"/>
    <n v="0"/>
    <n v="3"/>
    <n v="0"/>
    <x v="1"/>
    <x v="0"/>
    <x v="0"/>
    <s v="Normal"/>
    <x v="1"/>
    <x v="0"/>
    <x v="1"/>
  </r>
  <r>
    <n v="44"/>
    <x v="1"/>
    <n v="2"/>
    <n v="108"/>
    <n v="141"/>
    <n v="0"/>
    <n v="1"/>
    <n v="175"/>
    <n v="0"/>
    <n v="0.6"/>
    <n v="1"/>
    <n v="0"/>
    <n v="2"/>
    <n v="1"/>
    <x v="1"/>
    <x v="1"/>
    <x v="2"/>
    <s v="Normal"/>
    <x v="0"/>
    <x v="0"/>
    <x v="3"/>
  </r>
  <r>
    <n v="76"/>
    <x v="1"/>
    <n v="2"/>
    <n v="140"/>
    <n v="197"/>
    <n v="0"/>
    <n v="2"/>
    <n v="116"/>
    <n v="0"/>
    <n v="1.1000000000000001"/>
    <n v="1"/>
    <n v="0"/>
    <n v="2"/>
    <n v="1"/>
    <x v="1"/>
    <x v="1"/>
    <x v="2"/>
    <s v="Normal"/>
    <x v="0"/>
    <x v="2"/>
    <x v="1"/>
  </r>
  <r>
    <n v="58"/>
    <x v="0"/>
    <n v="0"/>
    <n v="128"/>
    <n v="259"/>
    <n v="0"/>
    <n v="0"/>
    <n v="130"/>
    <n v="1"/>
    <n v="3"/>
    <n v="1"/>
    <n v="2"/>
    <n v="3"/>
    <n v="0"/>
    <x v="0"/>
    <x v="0"/>
    <x v="0"/>
    <s v="Normal"/>
    <x v="1"/>
    <x v="1"/>
    <x v="0"/>
  </r>
  <r>
    <n v="60"/>
    <x v="1"/>
    <n v="2"/>
    <n v="120"/>
    <n v="178"/>
    <n v="1"/>
    <n v="1"/>
    <n v="96"/>
    <n v="0"/>
    <n v="0"/>
    <n v="2"/>
    <n v="0"/>
    <n v="2"/>
    <n v="1"/>
    <x v="1"/>
    <x v="1"/>
    <x v="2"/>
    <s v="High"/>
    <x v="0"/>
    <x v="0"/>
    <x v="0"/>
  </r>
  <r>
    <n v="53"/>
    <x v="0"/>
    <n v="0"/>
    <n v="140"/>
    <n v="203"/>
    <n v="1"/>
    <n v="0"/>
    <n v="155"/>
    <n v="1"/>
    <n v="3.1"/>
    <n v="0"/>
    <n v="0"/>
    <n v="3"/>
    <n v="0"/>
    <x v="0"/>
    <x v="0"/>
    <x v="0"/>
    <s v="High"/>
    <x v="1"/>
    <x v="1"/>
    <x v="1"/>
  </r>
  <r>
    <n v="52"/>
    <x v="0"/>
    <n v="1"/>
    <n v="120"/>
    <n v="325"/>
    <n v="0"/>
    <n v="1"/>
    <n v="172"/>
    <n v="0"/>
    <n v="0.2"/>
    <n v="2"/>
    <n v="0"/>
    <n v="2"/>
    <n v="1"/>
    <x v="0"/>
    <x v="1"/>
    <x v="1"/>
    <s v="Normal"/>
    <x v="0"/>
    <x v="0"/>
    <x v="0"/>
  </r>
  <r>
    <n v="38"/>
    <x v="0"/>
    <n v="2"/>
    <n v="138"/>
    <n v="175"/>
    <n v="0"/>
    <n v="1"/>
    <n v="173"/>
    <n v="0"/>
    <n v="0"/>
    <n v="2"/>
    <n v="4"/>
    <n v="2"/>
    <n v="1"/>
    <x v="0"/>
    <x v="1"/>
    <x v="2"/>
    <s v="Normal"/>
    <x v="0"/>
    <x v="0"/>
    <x v="2"/>
  </r>
  <r>
    <n v="52"/>
    <x v="0"/>
    <n v="2"/>
    <n v="172"/>
    <n v="199"/>
    <n v="1"/>
    <n v="1"/>
    <n v="162"/>
    <n v="0"/>
    <n v="0.5"/>
    <n v="2"/>
    <n v="0"/>
    <n v="3"/>
    <n v="1"/>
    <x v="0"/>
    <x v="1"/>
    <x v="2"/>
    <s v="High"/>
    <x v="0"/>
    <x v="3"/>
    <x v="1"/>
  </r>
  <r>
    <n v="52"/>
    <x v="0"/>
    <n v="3"/>
    <n v="118"/>
    <n v="186"/>
    <n v="0"/>
    <n v="0"/>
    <n v="190"/>
    <n v="0"/>
    <n v="0"/>
    <n v="1"/>
    <n v="0"/>
    <n v="1"/>
    <n v="1"/>
    <x v="0"/>
    <x v="1"/>
    <x v="3"/>
    <s v="Normal"/>
    <x v="0"/>
    <x v="0"/>
    <x v="3"/>
  </r>
  <r>
    <n v="51"/>
    <x v="0"/>
    <n v="2"/>
    <n v="125"/>
    <n v="245"/>
    <n v="1"/>
    <n v="0"/>
    <n v="166"/>
    <n v="0"/>
    <n v="2.4"/>
    <n v="1"/>
    <n v="0"/>
    <n v="2"/>
    <n v="1"/>
    <x v="0"/>
    <x v="1"/>
    <x v="2"/>
    <s v="High"/>
    <x v="0"/>
    <x v="0"/>
    <x v="0"/>
  </r>
  <r>
    <n v="43"/>
    <x v="0"/>
    <n v="0"/>
    <n v="110"/>
    <n v="211"/>
    <n v="0"/>
    <n v="1"/>
    <n v="161"/>
    <n v="0"/>
    <n v="0"/>
    <n v="2"/>
    <n v="0"/>
    <n v="3"/>
    <n v="1"/>
    <x v="0"/>
    <x v="1"/>
    <x v="0"/>
    <s v="Normal"/>
    <x v="0"/>
    <x v="0"/>
    <x v="3"/>
  </r>
  <r>
    <n v="39"/>
    <x v="0"/>
    <n v="0"/>
    <n v="118"/>
    <n v="219"/>
    <n v="0"/>
    <n v="1"/>
    <n v="140"/>
    <n v="0"/>
    <n v="1.2"/>
    <n v="1"/>
    <n v="0"/>
    <n v="3"/>
    <n v="0"/>
    <x v="0"/>
    <x v="0"/>
    <x v="0"/>
    <s v="Normal"/>
    <x v="0"/>
    <x v="2"/>
    <x v="3"/>
  </r>
  <r>
    <n v="63"/>
    <x v="1"/>
    <n v="0"/>
    <n v="108"/>
    <n v="269"/>
    <n v="0"/>
    <n v="1"/>
    <n v="169"/>
    <n v="1"/>
    <n v="1.8"/>
    <n v="1"/>
    <n v="2"/>
    <n v="2"/>
    <n v="0"/>
    <x v="1"/>
    <x v="0"/>
    <x v="0"/>
    <s v="Normal"/>
    <x v="1"/>
    <x v="3"/>
    <x v="3"/>
  </r>
  <r>
    <n v="52"/>
    <x v="0"/>
    <n v="1"/>
    <n v="128"/>
    <n v="205"/>
    <n v="1"/>
    <n v="1"/>
    <n v="184"/>
    <n v="0"/>
    <n v="0"/>
    <n v="2"/>
    <n v="0"/>
    <n v="2"/>
    <n v="1"/>
    <x v="0"/>
    <x v="1"/>
    <x v="1"/>
    <s v="High"/>
    <x v="0"/>
    <x v="1"/>
    <x v="0"/>
  </r>
  <r>
    <n v="44"/>
    <x v="0"/>
    <n v="0"/>
    <n v="110"/>
    <n v="197"/>
    <n v="0"/>
    <n v="0"/>
    <n v="177"/>
    <n v="0"/>
    <n v="0"/>
    <n v="2"/>
    <n v="1"/>
    <n v="2"/>
    <n v="0"/>
    <x v="0"/>
    <x v="0"/>
    <x v="0"/>
    <s v="Normal"/>
    <x v="0"/>
    <x v="0"/>
    <x v="3"/>
  </r>
  <r>
    <n v="45"/>
    <x v="0"/>
    <n v="0"/>
    <n v="142"/>
    <n v="309"/>
    <n v="0"/>
    <n v="0"/>
    <n v="147"/>
    <n v="1"/>
    <n v="0"/>
    <n v="1"/>
    <n v="3"/>
    <n v="3"/>
    <n v="0"/>
    <x v="0"/>
    <x v="0"/>
    <x v="0"/>
    <s v="Normal"/>
    <x v="1"/>
    <x v="2"/>
    <x v="1"/>
  </r>
  <r>
    <n v="57"/>
    <x v="0"/>
    <n v="0"/>
    <n v="140"/>
    <n v="192"/>
    <n v="0"/>
    <n v="1"/>
    <n v="148"/>
    <n v="0"/>
    <n v="0.4"/>
    <n v="1"/>
    <n v="0"/>
    <n v="1"/>
    <n v="1"/>
    <x v="0"/>
    <x v="1"/>
    <x v="0"/>
    <s v="Normal"/>
    <x v="0"/>
    <x v="2"/>
    <x v="1"/>
  </r>
  <r>
    <n v="39"/>
    <x v="0"/>
    <n v="0"/>
    <n v="118"/>
    <n v="219"/>
    <n v="0"/>
    <n v="1"/>
    <n v="140"/>
    <n v="0"/>
    <n v="1.2"/>
    <n v="1"/>
    <n v="0"/>
    <n v="3"/>
    <n v="0"/>
    <x v="0"/>
    <x v="0"/>
    <x v="0"/>
    <s v="Normal"/>
    <x v="0"/>
    <x v="0"/>
    <x v="3"/>
  </r>
  <r>
    <n v="67"/>
    <x v="1"/>
    <n v="0"/>
    <n v="106"/>
    <n v="223"/>
    <n v="0"/>
    <n v="1"/>
    <n v="142"/>
    <n v="0"/>
    <n v="0.3"/>
    <n v="2"/>
    <n v="2"/>
    <n v="2"/>
    <n v="1"/>
    <x v="1"/>
    <x v="1"/>
    <x v="0"/>
    <s v="Normal"/>
    <x v="0"/>
    <x v="3"/>
    <x v="3"/>
  </r>
  <r>
    <n v="64"/>
    <x v="0"/>
    <n v="0"/>
    <n v="128"/>
    <n v="263"/>
    <n v="0"/>
    <n v="1"/>
    <n v="105"/>
    <n v="1"/>
    <n v="0.2"/>
    <n v="1"/>
    <n v="1"/>
    <n v="3"/>
    <n v="1"/>
    <x v="0"/>
    <x v="1"/>
    <x v="0"/>
    <s v="Normal"/>
    <x v="1"/>
    <x v="1"/>
    <x v="0"/>
  </r>
  <r>
    <n v="59"/>
    <x v="0"/>
    <n v="0"/>
    <n v="135"/>
    <n v="234"/>
    <n v="0"/>
    <n v="1"/>
    <n v="161"/>
    <n v="0"/>
    <n v="0.5"/>
    <n v="1"/>
    <n v="0"/>
    <n v="3"/>
    <n v="1"/>
    <x v="0"/>
    <x v="1"/>
    <x v="0"/>
    <s v="Normal"/>
    <x v="0"/>
    <x v="1"/>
    <x v="2"/>
  </r>
  <r>
    <n v="62"/>
    <x v="0"/>
    <n v="2"/>
    <n v="130"/>
    <n v="231"/>
    <n v="0"/>
    <n v="1"/>
    <n v="146"/>
    <n v="0"/>
    <n v="1.8"/>
    <n v="1"/>
    <n v="3"/>
    <n v="3"/>
    <n v="1"/>
    <x v="0"/>
    <x v="1"/>
    <x v="2"/>
    <s v="Normal"/>
    <x v="0"/>
    <x v="0"/>
    <x v="2"/>
  </r>
  <r>
    <n v="55"/>
    <x v="1"/>
    <n v="0"/>
    <n v="180"/>
    <n v="327"/>
    <n v="0"/>
    <n v="2"/>
    <n v="117"/>
    <n v="1"/>
    <n v="3.4"/>
    <n v="1"/>
    <n v="0"/>
    <n v="2"/>
    <n v="0"/>
    <x v="1"/>
    <x v="0"/>
    <x v="0"/>
    <s v="Normal"/>
    <x v="1"/>
    <x v="1"/>
    <x v="1"/>
  </r>
  <r>
    <n v="57"/>
    <x v="0"/>
    <n v="1"/>
    <n v="154"/>
    <n v="232"/>
    <n v="0"/>
    <n v="0"/>
    <n v="164"/>
    <n v="0"/>
    <n v="0"/>
    <n v="2"/>
    <n v="1"/>
    <n v="2"/>
    <n v="0"/>
    <x v="0"/>
    <x v="0"/>
    <x v="1"/>
    <s v="Normal"/>
    <x v="0"/>
    <x v="0"/>
    <x v="1"/>
  </r>
  <r>
    <n v="60"/>
    <x v="0"/>
    <n v="0"/>
    <n v="140"/>
    <n v="293"/>
    <n v="0"/>
    <n v="0"/>
    <n v="170"/>
    <n v="0"/>
    <n v="1.2"/>
    <n v="1"/>
    <n v="2"/>
    <n v="3"/>
    <n v="0"/>
    <x v="0"/>
    <x v="0"/>
    <x v="0"/>
    <s v="Normal"/>
    <x v="0"/>
    <x v="0"/>
    <x v="1"/>
  </r>
  <r>
    <n v="71"/>
    <x v="1"/>
    <n v="1"/>
    <n v="160"/>
    <n v="302"/>
    <n v="0"/>
    <n v="1"/>
    <n v="162"/>
    <n v="0"/>
    <n v="0.4"/>
    <n v="2"/>
    <n v="2"/>
    <n v="2"/>
    <n v="1"/>
    <x v="1"/>
    <x v="1"/>
    <x v="1"/>
    <s v="Normal"/>
    <x v="0"/>
    <x v="1"/>
    <x v="1"/>
  </r>
  <r>
    <n v="56"/>
    <x v="0"/>
    <n v="1"/>
    <n v="120"/>
    <n v="236"/>
    <n v="0"/>
    <n v="1"/>
    <n v="178"/>
    <n v="0"/>
    <n v="0.8"/>
    <n v="2"/>
    <n v="0"/>
    <n v="2"/>
    <n v="1"/>
    <x v="0"/>
    <x v="1"/>
    <x v="1"/>
    <s v="Normal"/>
    <x v="0"/>
    <x v="1"/>
    <x v="0"/>
  </r>
  <r>
    <n v="60"/>
    <x v="0"/>
    <n v="0"/>
    <n v="117"/>
    <n v="230"/>
    <n v="1"/>
    <n v="1"/>
    <n v="160"/>
    <n v="1"/>
    <n v="1.4"/>
    <n v="2"/>
    <n v="2"/>
    <n v="3"/>
    <n v="0"/>
    <x v="0"/>
    <x v="0"/>
    <x v="0"/>
    <s v="High"/>
    <x v="1"/>
    <x v="0"/>
    <x v="3"/>
  </r>
  <r>
    <n v="50"/>
    <x v="1"/>
    <n v="0"/>
    <n v="110"/>
    <n v="254"/>
    <n v="0"/>
    <n v="0"/>
    <n v="159"/>
    <n v="0"/>
    <n v="0"/>
    <n v="2"/>
    <n v="0"/>
    <n v="2"/>
    <n v="1"/>
    <x v="1"/>
    <x v="1"/>
    <x v="0"/>
    <s v="Normal"/>
    <x v="0"/>
    <x v="1"/>
    <x v="3"/>
  </r>
  <r>
    <n v="43"/>
    <x v="0"/>
    <n v="0"/>
    <n v="132"/>
    <n v="247"/>
    <n v="1"/>
    <n v="0"/>
    <n v="143"/>
    <n v="1"/>
    <n v="0.1"/>
    <n v="1"/>
    <n v="4"/>
    <n v="3"/>
    <n v="0"/>
    <x v="0"/>
    <x v="0"/>
    <x v="0"/>
    <s v="High"/>
    <x v="1"/>
    <x v="0"/>
    <x v="2"/>
  </r>
  <r>
    <n v="59"/>
    <x v="0"/>
    <n v="0"/>
    <n v="110"/>
    <n v="239"/>
    <n v="0"/>
    <n v="0"/>
    <n v="142"/>
    <n v="1"/>
    <n v="1.2"/>
    <n v="1"/>
    <n v="1"/>
    <n v="3"/>
    <n v="0"/>
    <x v="0"/>
    <x v="0"/>
    <x v="0"/>
    <s v="Normal"/>
    <x v="1"/>
    <x v="2"/>
    <x v="3"/>
  </r>
  <r>
    <n v="44"/>
    <x v="0"/>
    <n v="1"/>
    <n v="120"/>
    <n v="263"/>
    <n v="0"/>
    <n v="1"/>
    <n v="173"/>
    <n v="0"/>
    <n v="0"/>
    <n v="2"/>
    <n v="0"/>
    <n v="3"/>
    <n v="1"/>
    <x v="0"/>
    <x v="1"/>
    <x v="1"/>
    <s v="Normal"/>
    <x v="0"/>
    <x v="0"/>
    <x v="0"/>
  </r>
  <r>
    <n v="56"/>
    <x v="1"/>
    <n v="0"/>
    <n v="134"/>
    <n v="409"/>
    <n v="0"/>
    <n v="0"/>
    <n v="150"/>
    <n v="1"/>
    <n v="1.9"/>
    <n v="1"/>
    <n v="2"/>
    <n v="3"/>
    <n v="0"/>
    <x v="1"/>
    <x v="0"/>
    <x v="0"/>
    <s v="Normal"/>
    <x v="1"/>
    <x v="2"/>
    <x v="2"/>
  </r>
  <r>
    <n v="54"/>
    <x v="0"/>
    <n v="0"/>
    <n v="120"/>
    <n v="188"/>
    <n v="0"/>
    <n v="1"/>
    <n v="113"/>
    <n v="0"/>
    <n v="1.4"/>
    <n v="1"/>
    <n v="1"/>
    <n v="3"/>
    <n v="0"/>
    <x v="0"/>
    <x v="0"/>
    <x v="0"/>
    <s v="Normal"/>
    <x v="0"/>
    <x v="0"/>
    <x v="0"/>
  </r>
  <r>
    <n v="42"/>
    <x v="0"/>
    <n v="0"/>
    <n v="136"/>
    <n v="315"/>
    <n v="0"/>
    <n v="1"/>
    <n v="125"/>
    <n v="1"/>
    <n v="1.8"/>
    <n v="1"/>
    <n v="0"/>
    <n v="1"/>
    <n v="0"/>
    <x v="0"/>
    <x v="0"/>
    <x v="0"/>
    <s v="Normal"/>
    <x v="1"/>
    <x v="0"/>
    <x v="2"/>
  </r>
  <r>
    <n v="67"/>
    <x v="0"/>
    <n v="0"/>
    <n v="125"/>
    <n v="254"/>
    <n v="1"/>
    <n v="1"/>
    <n v="163"/>
    <n v="0"/>
    <n v="0.2"/>
    <n v="1"/>
    <n v="2"/>
    <n v="3"/>
    <n v="0"/>
    <x v="0"/>
    <x v="0"/>
    <x v="0"/>
    <s v="High"/>
    <x v="0"/>
    <x v="2"/>
    <x v="0"/>
  </r>
  <r>
    <n v="64"/>
    <x v="0"/>
    <n v="0"/>
    <n v="145"/>
    <n v="212"/>
    <n v="0"/>
    <n v="0"/>
    <n v="132"/>
    <n v="0"/>
    <n v="2"/>
    <n v="1"/>
    <n v="2"/>
    <n v="1"/>
    <n v="0"/>
    <x v="0"/>
    <x v="0"/>
    <x v="0"/>
    <s v="Normal"/>
    <x v="0"/>
    <x v="1"/>
    <x v="1"/>
  </r>
  <r>
    <n v="42"/>
    <x v="0"/>
    <n v="0"/>
    <n v="140"/>
    <n v="226"/>
    <n v="0"/>
    <n v="1"/>
    <n v="178"/>
    <n v="0"/>
    <n v="0"/>
    <n v="2"/>
    <n v="0"/>
    <n v="2"/>
    <n v="1"/>
    <x v="0"/>
    <x v="1"/>
    <x v="0"/>
    <s v="Normal"/>
    <x v="0"/>
    <x v="1"/>
    <x v="1"/>
  </r>
  <r>
    <n v="66"/>
    <x v="0"/>
    <n v="0"/>
    <n v="112"/>
    <n v="212"/>
    <n v="0"/>
    <n v="0"/>
    <n v="132"/>
    <n v="1"/>
    <n v="0.1"/>
    <n v="2"/>
    <n v="1"/>
    <n v="2"/>
    <n v="0"/>
    <x v="0"/>
    <x v="0"/>
    <x v="0"/>
    <s v="Normal"/>
    <x v="1"/>
    <x v="2"/>
    <x v="3"/>
  </r>
  <r>
    <n v="52"/>
    <x v="0"/>
    <n v="0"/>
    <n v="108"/>
    <n v="233"/>
    <n v="1"/>
    <n v="1"/>
    <n v="147"/>
    <n v="0"/>
    <n v="0.1"/>
    <n v="2"/>
    <n v="3"/>
    <n v="3"/>
    <n v="1"/>
    <x v="0"/>
    <x v="1"/>
    <x v="0"/>
    <s v="High"/>
    <x v="0"/>
    <x v="1"/>
    <x v="3"/>
  </r>
  <r>
    <n v="51"/>
    <x v="1"/>
    <n v="2"/>
    <n v="140"/>
    <n v="308"/>
    <n v="0"/>
    <n v="0"/>
    <n v="142"/>
    <n v="0"/>
    <n v="1.5"/>
    <n v="2"/>
    <n v="1"/>
    <n v="2"/>
    <n v="1"/>
    <x v="1"/>
    <x v="1"/>
    <x v="2"/>
    <s v="Normal"/>
    <x v="0"/>
    <x v="0"/>
    <x v="1"/>
  </r>
  <r>
    <n v="55"/>
    <x v="1"/>
    <n v="0"/>
    <n v="128"/>
    <n v="205"/>
    <n v="0"/>
    <n v="2"/>
    <n v="130"/>
    <n v="1"/>
    <n v="2"/>
    <n v="1"/>
    <n v="1"/>
    <n v="3"/>
    <n v="0"/>
    <x v="1"/>
    <x v="0"/>
    <x v="0"/>
    <s v="Normal"/>
    <x v="1"/>
    <x v="0"/>
    <x v="0"/>
  </r>
  <r>
    <n v="58"/>
    <x v="0"/>
    <n v="2"/>
    <n v="140"/>
    <n v="211"/>
    <n v="1"/>
    <n v="0"/>
    <n v="165"/>
    <n v="0"/>
    <n v="0"/>
    <n v="2"/>
    <n v="0"/>
    <n v="2"/>
    <n v="1"/>
    <x v="0"/>
    <x v="1"/>
    <x v="2"/>
    <s v="High"/>
    <x v="0"/>
    <x v="0"/>
    <x v="1"/>
  </r>
  <r>
    <n v="56"/>
    <x v="0"/>
    <n v="3"/>
    <n v="120"/>
    <n v="193"/>
    <n v="0"/>
    <n v="0"/>
    <n v="162"/>
    <n v="0"/>
    <n v="1.9"/>
    <n v="1"/>
    <n v="0"/>
    <n v="3"/>
    <n v="1"/>
    <x v="0"/>
    <x v="1"/>
    <x v="3"/>
    <s v="Normal"/>
    <x v="0"/>
    <x v="0"/>
    <x v="0"/>
  </r>
  <r>
    <n v="42"/>
    <x v="0"/>
    <n v="1"/>
    <n v="120"/>
    <n v="295"/>
    <n v="0"/>
    <n v="1"/>
    <n v="162"/>
    <n v="0"/>
    <n v="0"/>
    <n v="2"/>
    <n v="0"/>
    <n v="2"/>
    <n v="1"/>
    <x v="0"/>
    <x v="1"/>
    <x v="1"/>
    <s v="Normal"/>
    <x v="0"/>
    <x v="0"/>
    <x v="0"/>
  </r>
  <r>
    <n v="40"/>
    <x v="0"/>
    <n v="0"/>
    <n v="152"/>
    <n v="223"/>
    <n v="0"/>
    <n v="1"/>
    <n v="181"/>
    <n v="0"/>
    <n v="0"/>
    <n v="2"/>
    <n v="0"/>
    <n v="3"/>
    <n v="0"/>
    <x v="0"/>
    <x v="0"/>
    <x v="0"/>
    <s v="Normal"/>
    <x v="0"/>
    <x v="2"/>
    <x v="1"/>
  </r>
  <r>
    <n v="51"/>
    <x v="0"/>
    <n v="0"/>
    <n v="140"/>
    <n v="299"/>
    <n v="0"/>
    <n v="1"/>
    <n v="173"/>
    <n v="1"/>
    <n v="1.6"/>
    <n v="2"/>
    <n v="0"/>
    <n v="3"/>
    <n v="0"/>
    <x v="0"/>
    <x v="0"/>
    <x v="0"/>
    <s v="Normal"/>
    <x v="1"/>
    <x v="2"/>
    <x v="1"/>
  </r>
  <r>
    <n v="45"/>
    <x v="0"/>
    <n v="1"/>
    <n v="128"/>
    <n v="308"/>
    <n v="0"/>
    <n v="0"/>
    <n v="170"/>
    <n v="0"/>
    <n v="0"/>
    <n v="2"/>
    <n v="0"/>
    <n v="2"/>
    <n v="1"/>
    <x v="0"/>
    <x v="1"/>
    <x v="1"/>
    <s v="Normal"/>
    <x v="0"/>
    <x v="0"/>
    <x v="0"/>
  </r>
  <r>
    <n v="48"/>
    <x v="0"/>
    <n v="1"/>
    <n v="110"/>
    <n v="229"/>
    <n v="0"/>
    <n v="1"/>
    <n v="168"/>
    <n v="0"/>
    <n v="1"/>
    <n v="0"/>
    <n v="0"/>
    <n v="3"/>
    <n v="0"/>
    <x v="0"/>
    <x v="0"/>
    <x v="1"/>
    <s v="Normal"/>
    <x v="0"/>
    <x v="2"/>
    <x v="3"/>
  </r>
  <r>
    <n v="58"/>
    <x v="0"/>
    <n v="0"/>
    <n v="114"/>
    <n v="318"/>
    <n v="0"/>
    <n v="2"/>
    <n v="140"/>
    <n v="0"/>
    <n v="4.4000000000000004"/>
    <n v="0"/>
    <n v="3"/>
    <n v="1"/>
    <n v="0"/>
    <x v="0"/>
    <x v="0"/>
    <x v="0"/>
    <s v="Normal"/>
    <x v="0"/>
    <x v="2"/>
    <x v="3"/>
  </r>
  <r>
    <n v="44"/>
    <x v="1"/>
    <n v="2"/>
    <n v="108"/>
    <n v="141"/>
    <n v="0"/>
    <n v="1"/>
    <n v="175"/>
    <n v="0"/>
    <n v="0.6"/>
    <n v="1"/>
    <n v="0"/>
    <n v="2"/>
    <n v="1"/>
    <x v="1"/>
    <x v="1"/>
    <x v="2"/>
    <s v="Normal"/>
    <x v="0"/>
    <x v="0"/>
    <x v="3"/>
  </r>
  <r>
    <n v="58"/>
    <x v="0"/>
    <n v="0"/>
    <n v="128"/>
    <n v="216"/>
    <n v="0"/>
    <n v="0"/>
    <n v="131"/>
    <n v="1"/>
    <n v="2.2000000000000002"/>
    <n v="1"/>
    <n v="3"/>
    <n v="3"/>
    <n v="0"/>
    <x v="0"/>
    <x v="0"/>
    <x v="0"/>
    <s v="Normal"/>
    <x v="1"/>
    <x v="2"/>
    <x v="0"/>
  </r>
  <r>
    <n v="65"/>
    <x v="0"/>
    <n v="3"/>
    <n v="138"/>
    <n v="282"/>
    <n v="1"/>
    <n v="0"/>
    <n v="174"/>
    <n v="0"/>
    <n v="1.4"/>
    <n v="1"/>
    <n v="1"/>
    <n v="2"/>
    <n v="0"/>
    <x v="0"/>
    <x v="0"/>
    <x v="3"/>
    <s v="High"/>
    <x v="0"/>
    <x v="0"/>
    <x v="2"/>
  </r>
  <r>
    <n v="53"/>
    <x v="0"/>
    <n v="0"/>
    <n v="123"/>
    <n v="282"/>
    <n v="0"/>
    <n v="1"/>
    <n v="95"/>
    <n v="1"/>
    <n v="2"/>
    <n v="1"/>
    <n v="2"/>
    <n v="3"/>
    <n v="0"/>
    <x v="0"/>
    <x v="0"/>
    <x v="0"/>
    <s v="Normal"/>
    <x v="1"/>
    <x v="1"/>
    <x v="0"/>
  </r>
  <r>
    <n v="41"/>
    <x v="0"/>
    <n v="0"/>
    <n v="110"/>
    <n v="172"/>
    <n v="0"/>
    <n v="0"/>
    <n v="158"/>
    <n v="0"/>
    <n v="0"/>
    <n v="2"/>
    <n v="0"/>
    <n v="3"/>
    <n v="0"/>
    <x v="0"/>
    <x v="0"/>
    <x v="0"/>
    <s v="Normal"/>
    <x v="0"/>
    <x v="0"/>
    <x v="3"/>
  </r>
  <r>
    <n v="47"/>
    <x v="0"/>
    <n v="0"/>
    <n v="112"/>
    <n v="204"/>
    <n v="0"/>
    <n v="1"/>
    <n v="143"/>
    <n v="0"/>
    <n v="0.1"/>
    <n v="2"/>
    <n v="0"/>
    <n v="2"/>
    <n v="1"/>
    <x v="0"/>
    <x v="1"/>
    <x v="0"/>
    <s v="Normal"/>
    <x v="0"/>
    <x v="2"/>
    <x v="3"/>
  </r>
  <r>
    <n v="59"/>
    <x v="0"/>
    <n v="1"/>
    <n v="140"/>
    <n v="221"/>
    <n v="0"/>
    <n v="1"/>
    <n v="164"/>
    <n v="1"/>
    <n v="0"/>
    <n v="2"/>
    <n v="0"/>
    <n v="2"/>
    <n v="1"/>
    <x v="0"/>
    <x v="1"/>
    <x v="1"/>
    <s v="Normal"/>
    <x v="1"/>
    <x v="2"/>
    <x v="1"/>
  </r>
  <r>
    <n v="60"/>
    <x v="0"/>
    <n v="0"/>
    <n v="125"/>
    <n v="258"/>
    <n v="0"/>
    <n v="0"/>
    <n v="141"/>
    <n v="1"/>
    <n v="2.8"/>
    <n v="1"/>
    <n v="1"/>
    <n v="3"/>
    <n v="0"/>
    <x v="0"/>
    <x v="0"/>
    <x v="0"/>
    <s v="Normal"/>
    <x v="1"/>
    <x v="0"/>
    <x v="0"/>
  </r>
  <r>
    <n v="47"/>
    <x v="0"/>
    <n v="0"/>
    <n v="110"/>
    <n v="275"/>
    <n v="0"/>
    <n v="0"/>
    <n v="118"/>
    <n v="1"/>
    <n v="1"/>
    <n v="1"/>
    <n v="1"/>
    <n v="2"/>
    <n v="0"/>
    <x v="0"/>
    <x v="0"/>
    <x v="0"/>
    <s v="Normal"/>
    <x v="1"/>
    <x v="1"/>
    <x v="3"/>
  </r>
  <r>
    <n v="50"/>
    <x v="1"/>
    <n v="0"/>
    <n v="110"/>
    <n v="254"/>
    <n v="0"/>
    <n v="0"/>
    <n v="159"/>
    <n v="0"/>
    <n v="0"/>
    <n v="2"/>
    <n v="0"/>
    <n v="2"/>
    <n v="1"/>
    <x v="1"/>
    <x v="1"/>
    <x v="0"/>
    <s v="Normal"/>
    <x v="0"/>
    <x v="2"/>
    <x v="3"/>
  </r>
  <r>
    <n v="54"/>
    <x v="0"/>
    <n v="0"/>
    <n v="120"/>
    <n v="188"/>
    <n v="0"/>
    <n v="1"/>
    <n v="113"/>
    <n v="0"/>
    <n v="1.4"/>
    <n v="1"/>
    <n v="1"/>
    <n v="3"/>
    <n v="0"/>
    <x v="0"/>
    <x v="0"/>
    <x v="0"/>
    <s v="Normal"/>
    <x v="0"/>
    <x v="0"/>
    <x v="0"/>
  </r>
  <r>
    <m/>
    <x v="2"/>
    <m/>
    <m/>
    <m/>
    <m/>
    <m/>
    <m/>
    <m/>
    <m/>
    <m/>
    <m/>
    <m/>
    <m/>
    <x v="1"/>
    <x v="0"/>
    <x v="0"/>
    <s v="Normal"/>
    <x v="0"/>
    <x v="0"/>
    <x v="3"/>
  </r>
  <r>
    <m/>
    <x v="2"/>
    <m/>
    <m/>
    <m/>
    <m/>
    <m/>
    <m/>
    <m/>
    <m/>
    <m/>
    <m/>
    <m/>
    <m/>
    <x v="1"/>
    <x v="0"/>
    <x v="0"/>
    <s v="Normal"/>
    <x v="0"/>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4A4EAF-893B-43CF-B345-A76986A12C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5" firstHeaderRow="1" firstDataRow="1" firstDataCol="1"/>
  <pivotFields count="21">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axis="axisRow" dataField="1" showAll="0">
      <items count="3">
        <item x="1"/>
        <item x="0"/>
        <item t="default"/>
      </items>
    </pivotField>
    <pivotField showAll="0">
      <items count="5">
        <item x="3"/>
        <item x="1"/>
        <item x="2"/>
        <item x="0"/>
        <item t="default"/>
      </items>
    </pivotField>
    <pivotField showAll="0"/>
    <pivotField showAll="0"/>
    <pivotField showAll="0">
      <items count="6">
        <item x="4"/>
        <item x="3"/>
        <item x="2"/>
        <item x="0"/>
        <item x="1"/>
        <item t="default"/>
      </items>
    </pivotField>
    <pivotField showAll="0">
      <items count="5">
        <item x="0"/>
        <item x="2"/>
        <item x="1"/>
        <item x="3"/>
        <item t="default"/>
      </items>
    </pivotField>
  </pivotFields>
  <rowFields count="1">
    <field x="15"/>
  </rowFields>
  <rowItems count="3">
    <i>
      <x/>
    </i>
    <i>
      <x v="1"/>
    </i>
    <i t="grand">
      <x/>
    </i>
  </rowItems>
  <colItems count="1">
    <i/>
  </colItems>
  <dataFields count="1">
    <dataField name="Count of Disease_Status"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59D7FC-D0B3-4843-B094-42E3DAADFD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8:B23" firstHeaderRow="1" firstDataRow="1" firstDataCol="1"/>
  <pivotFields count="21">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5">
        <item x="3"/>
        <item x="1"/>
        <item x="2"/>
        <item x="0"/>
        <item t="default"/>
      </items>
    </pivotField>
    <pivotField showAll="0"/>
    <pivotField showAll="0"/>
    <pivotField showAll="0">
      <items count="6">
        <item x="4"/>
        <item x="3"/>
        <item x="2"/>
        <item x="0"/>
        <item x="1"/>
        <item t="default"/>
      </items>
    </pivotField>
    <pivotField axis="axisRow" dataField="1" showAll="0">
      <items count="5">
        <item x="0"/>
        <item x="2"/>
        <item x="1"/>
        <item x="3"/>
        <item t="default"/>
      </items>
    </pivotField>
  </pivotFields>
  <rowFields count="1">
    <field x="20"/>
  </rowFields>
  <rowItems count="5">
    <i>
      <x/>
    </i>
    <i>
      <x v="1"/>
    </i>
    <i>
      <x v="2"/>
    </i>
    <i>
      <x v="3"/>
    </i>
    <i t="grand">
      <x/>
    </i>
  </rowItems>
  <colItems count="1">
    <i/>
  </colItems>
  <dataFields count="1">
    <dataField name="Count of BP_Category" fld="20"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D54A13-01CF-4A31-B2EE-7AB1DB57140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7:D33" firstHeaderRow="1" firstDataRow="2" firstDataCol="1"/>
  <pivotFields count="21">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axis="axisCol" dataField="1" showAll="0">
      <items count="3">
        <item x="1"/>
        <item x="0"/>
        <item t="default"/>
      </items>
    </pivotField>
    <pivotField showAll="0">
      <items count="5">
        <item x="3"/>
        <item x="1"/>
        <item x="2"/>
        <item x="0"/>
        <item t="default"/>
      </items>
    </pivotField>
    <pivotField showAll="0"/>
    <pivotField showAll="0"/>
    <pivotField showAll="0">
      <items count="6">
        <item x="4"/>
        <item x="3"/>
        <item x="2"/>
        <item x="0"/>
        <item x="1"/>
        <item t="default"/>
      </items>
    </pivotField>
    <pivotField axis="axisRow" showAll="0">
      <items count="5">
        <item x="0"/>
        <item x="2"/>
        <item x="1"/>
        <item x="3"/>
        <item t="default"/>
      </items>
    </pivotField>
  </pivotFields>
  <rowFields count="1">
    <field x="20"/>
  </rowFields>
  <rowItems count="5">
    <i>
      <x/>
    </i>
    <i>
      <x v="1"/>
    </i>
    <i>
      <x v="2"/>
    </i>
    <i>
      <x v="3"/>
    </i>
    <i t="grand">
      <x/>
    </i>
  </rowItems>
  <colFields count="1">
    <field x="15"/>
  </colFields>
  <colItems count="3">
    <i>
      <x/>
    </i>
    <i>
      <x v="1"/>
    </i>
    <i t="grand">
      <x/>
    </i>
  </colItems>
  <dataFields count="1">
    <dataField name="Count of Disease_Status" fld="15" subtotal="count" baseField="0" baseItem="0"/>
  </dataFields>
  <chartFormats count="10">
    <chartFormat chart="16" format="12" series="1">
      <pivotArea type="data" outline="0" fieldPosition="0">
        <references count="2">
          <reference field="4294967294" count="1" selected="0">
            <x v="0"/>
          </reference>
          <reference field="15" count="1" selected="0">
            <x v="0"/>
          </reference>
        </references>
      </pivotArea>
    </chartFormat>
    <chartFormat chart="16" format="13">
      <pivotArea type="data" outline="0" fieldPosition="0">
        <references count="3">
          <reference field="4294967294" count="1" selected="0">
            <x v="0"/>
          </reference>
          <reference field="15" count="1" selected="0">
            <x v="0"/>
          </reference>
          <reference field="20" count="1" selected="0">
            <x v="0"/>
          </reference>
        </references>
      </pivotArea>
    </chartFormat>
    <chartFormat chart="16" format="14">
      <pivotArea type="data" outline="0" fieldPosition="0">
        <references count="3">
          <reference field="4294967294" count="1" selected="0">
            <x v="0"/>
          </reference>
          <reference field="15" count="1" selected="0">
            <x v="0"/>
          </reference>
          <reference field="20" count="1" selected="0">
            <x v="1"/>
          </reference>
        </references>
      </pivotArea>
    </chartFormat>
    <chartFormat chart="16" format="15">
      <pivotArea type="data" outline="0" fieldPosition="0">
        <references count="3">
          <reference field="4294967294" count="1" selected="0">
            <x v="0"/>
          </reference>
          <reference field="15" count="1" selected="0">
            <x v="0"/>
          </reference>
          <reference field="20" count="1" selected="0">
            <x v="2"/>
          </reference>
        </references>
      </pivotArea>
    </chartFormat>
    <chartFormat chart="16" format="16">
      <pivotArea type="data" outline="0" fieldPosition="0">
        <references count="3">
          <reference field="4294967294" count="1" selected="0">
            <x v="0"/>
          </reference>
          <reference field="15" count="1" selected="0">
            <x v="0"/>
          </reference>
          <reference field="20" count="1" selected="0">
            <x v="3"/>
          </reference>
        </references>
      </pivotArea>
    </chartFormat>
    <chartFormat chart="16" format="17" series="1">
      <pivotArea type="data" outline="0" fieldPosition="0">
        <references count="2">
          <reference field="4294967294" count="1" selected="0">
            <x v="0"/>
          </reference>
          <reference field="15" count="1" selected="0">
            <x v="1"/>
          </reference>
        </references>
      </pivotArea>
    </chartFormat>
    <chartFormat chart="16" format="18">
      <pivotArea type="data" outline="0" fieldPosition="0">
        <references count="3">
          <reference field="4294967294" count="1" selected="0">
            <x v="0"/>
          </reference>
          <reference field="15" count="1" selected="0">
            <x v="1"/>
          </reference>
          <reference field="20" count="1" selected="0">
            <x v="0"/>
          </reference>
        </references>
      </pivotArea>
    </chartFormat>
    <chartFormat chart="16" format="19">
      <pivotArea type="data" outline="0" fieldPosition="0">
        <references count="3">
          <reference field="4294967294" count="1" selected="0">
            <x v="0"/>
          </reference>
          <reference field="15" count="1" selected="0">
            <x v="1"/>
          </reference>
          <reference field="20" count="1" selected="0">
            <x v="1"/>
          </reference>
        </references>
      </pivotArea>
    </chartFormat>
    <chartFormat chart="16" format="20">
      <pivotArea type="data" outline="0" fieldPosition="0">
        <references count="3">
          <reference field="4294967294" count="1" selected="0">
            <x v="0"/>
          </reference>
          <reference field="15" count="1" selected="0">
            <x v="1"/>
          </reference>
          <reference field="20" count="1" selected="0">
            <x v="2"/>
          </reference>
        </references>
      </pivotArea>
    </chartFormat>
    <chartFormat chart="16" format="21">
      <pivotArea type="data" outline="0" fieldPosition="0">
        <references count="3">
          <reference field="4294967294" count="1" selected="0">
            <x v="0"/>
          </reference>
          <reference field="15" count="1" selected="0">
            <x v="1"/>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75D465-9C68-4A33-84A1-A3E00E4AE3E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18:J22" firstHeaderRow="1" firstDataRow="2" firstDataCol="1"/>
  <pivotFields count="21">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axis="axisCol" dataField="1" showAll="0">
      <items count="3">
        <item x="1"/>
        <item x="0"/>
        <item t="default"/>
      </items>
    </pivotField>
    <pivotField showAll="0">
      <items count="5">
        <item x="3"/>
        <item x="1"/>
        <item x="2"/>
        <item x="0"/>
        <item t="default"/>
      </items>
    </pivotField>
    <pivotField showAll="0"/>
    <pivotField showAll="0"/>
    <pivotField showAll="0">
      <items count="6">
        <item x="4"/>
        <item x="3"/>
        <item x="2"/>
        <item x="0"/>
        <item x="1"/>
        <item t="default"/>
      </items>
    </pivotField>
    <pivotField showAll="0">
      <items count="5">
        <item x="0"/>
        <item x="2"/>
        <item x="1"/>
        <item x="3"/>
        <item t="default"/>
      </items>
    </pivotField>
  </pivotFields>
  <rowFields count="1">
    <field x="14"/>
  </rowFields>
  <rowItems count="3">
    <i>
      <x/>
    </i>
    <i>
      <x v="1"/>
    </i>
    <i t="grand">
      <x/>
    </i>
  </rowItems>
  <colFields count="1">
    <field x="15"/>
  </colFields>
  <colItems count="3">
    <i>
      <x/>
    </i>
    <i>
      <x v="1"/>
    </i>
    <i t="grand">
      <x/>
    </i>
  </colItems>
  <dataFields count="1">
    <dataField name="Count of Disease_Status" fld="15" subtotal="count" baseField="0" baseItem="0"/>
  </dataFields>
  <chartFormats count="6">
    <chartFormat chart="4" format="0" series="1">
      <pivotArea type="data" outline="0" fieldPosition="0">
        <references count="2">
          <reference field="4294967294" count="1" selected="0">
            <x v="0"/>
          </reference>
          <reference field="15" count="1" selected="0">
            <x v="0"/>
          </reference>
        </references>
      </pivotArea>
    </chartFormat>
    <chartFormat chart="4" format="1" series="1">
      <pivotArea type="data" outline="0" fieldPosition="0">
        <references count="2">
          <reference field="4294967294" count="1" selected="0">
            <x v="0"/>
          </reference>
          <reference field="15" count="1" selected="0">
            <x v="1"/>
          </reference>
        </references>
      </pivotArea>
    </chartFormat>
    <chartFormat chart="8" format="4" series="1">
      <pivotArea type="data" outline="0" fieldPosition="0">
        <references count="2">
          <reference field="4294967294" count="1" selected="0">
            <x v="0"/>
          </reference>
          <reference field="15" count="1" selected="0">
            <x v="0"/>
          </reference>
        </references>
      </pivotArea>
    </chartFormat>
    <chartFormat chart="8" format="5" series="1">
      <pivotArea type="data" outline="0" fieldPosition="0">
        <references count="2">
          <reference field="4294967294" count="1" selected="0">
            <x v="0"/>
          </reference>
          <reference field="15" count="1" selected="0">
            <x v="1"/>
          </reference>
        </references>
      </pivotArea>
    </chartFormat>
    <chartFormat chart="11" format="8" series="1">
      <pivotArea type="data" outline="0" fieldPosition="0">
        <references count="2">
          <reference field="4294967294" count="1" selected="0">
            <x v="0"/>
          </reference>
          <reference field="15" count="1" selected="0">
            <x v="0"/>
          </reference>
        </references>
      </pivotArea>
    </chartFormat>
    <chartFormat chart="11" format="9"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A22047-4562-4CE1-BBC0-3F7C764FC3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2:H7" firstHeaderRow="1" firstDataRow="1" firstDataCol="1"/>
  <pivotFields count="21">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axis="axisRow" dataField="1" showAll="0">
      <items count="5">
        <item x="3"/>
        <item x="1"/>
        <item x="2"/>
        <item x="0"/>
        <item t="default"/>
      </items>
    </pivotField>
    <pivotField showAll="0"/>
    <pivotField showAll="0">
      <items count="3">
        <item x="0"/>
        <item x="1"/>
        <item t="default"/>
      </items>
    </pivotField>
    <pivotField showAll="0">
      <items count="6">
        <item x="4"/>
        <item x="3"/>
        <item x="2"/>
        <item x="0"/>
        <item x="1"/>
        <item t="default"/>
      </items>
    </pivotField>
    <pivotField showAll="0">
      <items count="5">
        <item x="0"/>
        <item x="2"/>
        <item x="1"/>
        <item x="3"/>
        <item t="default"/>
      </items>
    </pivotField>
  </pivotFields>
  <rowFields count="1">
    <field x="16"/>
  </rowFields>
  <rowItems count="5">
    <i>
      <x/>
    </i>
    <i>
      <x v="1"/>
    </i>
    <i>
      <x v="2"/>
    </i>
    <i>
      <x v="3"/>
    </i>
    <i t="grand">
      <x/>
    </i>
  </rowItems>
  <colItems count="1">
    <i/>
  </colItems>
  <dataFields count="1">
    <dataField name="Count of Chest_Pain_Type" fld="16"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C3D8E8-9810-40BE-93AA-2D21EA9523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9:B12" firstHeaderRow="1" firstDataRow="1" firstDataCol="1"/>
  <pivotFields count="21">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items count="3">
        <item x="1"/>
        <item x="0"/>
        <item t="default"/>
      </items>
    </pivotField>
    <pivotField showAll="0">
      <items count="5">
        <item x="3"/>
        <item x="1"/>
        <item x="2"/>
        <item x="0"/>
        <item t="default"/>
      </items>
    </pivotField>
    <pivotField showAll="0"/>
    <pivotField showAll="0"/>
    <pivotField showAll="0">
      <items count="6">
        <item x="4"/>
        <item x="3"/>
        <item x="2"/>
        <item x="0"/>
        <item x="1"/>
        <item t="default"/>
      </items>
    </pivotField>
    <pivotField showAll="0">
      <items count="5">
        <item x="0"/>
        <item x="2"/>
        <item x="1"/>
        <item x="3"/>
        <item t="default"/>
      </items>
    </pivotField>
  </pivotFields>
  <rowFields count="1">
    <field x="14"/>
  </rowFields>
  <rowItems count="3">
    <i>
      <x/>
    </i>
    <i>
      <x v="1"/>
    </i>
    <i t="grand">
      <x/>
    </i>
  </rowItems>
  <colItems count="1">
    <i/>
  </colItems>
  <dataFields count="1">
    <dataField name="Count of Gender" fld="14"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636D53-A7AD-441F-B44E-2470DD5C1C3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8:E21" firstHeaderRow="1" firstDataRow="1" firstDataCol="1"/>
  <pivotFields count="21">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5">
        <item x="3"/>
        <item x="1"/>
        <item x="2"/>
        <item x="0"/>
        <item t="default"/>
      </items>
    </pivotField>
    <pivotField showAll="0"/>
    <pivotField axis="axisRow" dataField="1" showAll="0">
      <items count="3">
        <item x="0"/>
        <item x="1"/>
        <item t="default"/>
      </items>
    </pivotField>
    <pivotField showAll="0">
      <items count="6">
        <item x="4"/>
        <item x="3"/>
        <item x="2"/>
        <item x="0"/>
        <item x="1"/>
        <item t="default"/>
      </items>
    </pivotField>
    <pivotField showAll="0">
      <items count="5">
        <item x="0"/>
        <item x="2"/>
        <item x="1"/>
        <item x="3"/>
        <item t="default"/>
      </items>
    </pivotField>
  </pivotFields>
  <rowFields count="1">
    <field x="18"/>
  </rowFields>
  <rowItems count="3">
    <i>
      <x/>
    </i>
    <i>
      <x v="1"/>
    </i>
    <i t="grand">
      <x/>
    </i>
  </rowItems>
  <colItems count="1">
    <i/>
  </colItems>
  <dataFields count="1">
    <dataField name="Count of Exercise_Angina" fld="18" subtotal="count" baseField="0" baseItem="0"/>
  </dataFields>
  <chartFormats count="7">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8" count="1" selected="0">
            <x v="0"/>
          </reference>
        </references>
      </pivotArea>
    </chartFormat>
    <chartFormat chart="7" format="6">
      <pivotArea type="data" outline="0" fieldPosition="0">
        <references count="2">
          <reference field="4294967294" count="1" selected="0">
            <x v="0"/>
          </reference>
          <reference field="18"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8" count="1" selected="0">
            <x v="0"/>
          </reference>
        </references>
      </pivotArea>
    </chartFormat>
    <chartFormat chart="10" format="12">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17D608-E487-4665-AB78-03B6DDF530E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D2:E8" firstHeaderRow="1" firstDataRow="1" firstDataCol="1"/>
  <pivotFields count="21">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5">
        <item x="3"/>
        <item x="1"/>
        <item x="2"/>
        <item x="0"/>
        <item t="default"/>
      </items>
    </pivotField>
    <pivotField showAll="0"/>
    <pivotField showAll="0"/>
    <pivotField axis="axisRow" dataField="1" showAll="0">
      <items count="6">
        <item x="4"/>
        <item x="3"/>
        <item x="2"/>
        <item x="0"/>
        <item x="1"/>
        <item t="default"/>
      </items>
    </pivotField>
    <pivotField showAll="0">
      <items count="5">
        <item x="0"/>
        <item x="2"/>
        <item x="1"/>
        <item x="3"/>
        <item t="default"/>
      </items>
    </pivotField>
  </pivotFields>
  <rowFields count="1">
    <field x="19"/>
  </rowFields>
  <rowItems count="6">
    <i>
      <x/>
    </i>
    <i>
      <x v="1"/>
    </i>
    <i>
      <x v="2"/>
    </i>
    <i>
      <x v="3"/>
    </i>
    <i>
      <x v="4"/>
    </i>
    <i t="grand">
      <x/>
    </i>
  </rowItems>
  <colItems count="1">
    <i/>
  </colItems>
  <dataFields count="1">
    <dataField name="Count of Age_Group" fld="19" subtotal="count" baseField="0" baseItem="0"/>
  </dataFields>
  <chartFormats count="3">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6256F13-BECE-4185-ACD7-910FAC6D195E}" sourceName="Gender">
  <pivotTables>
    <pivotTable tabId="3" name="PivotTable4"/>
    <pivotTable tabId="3" name="PivotTable1"/>
    <pivotTable tabId="3" name="PivotTable2"/>
    <pivotTable tabId="3" name="PivotTable5"/>
    <pivotTable tabId="3" name="PivotTable6"/>
    <pivotTable tabId="3" name="PivotTable7"/>
    <pivotTable tabId="3" name="PivotTable8"/>
    <pivotTable tabId="3" name="PivotTable9"/>
  </pivotTables>
  <data>
    <tabular pivotCacheId="103250219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_Status" xr10:uid="{1AC4EA08-D920-4BBC-9966-35EFFE92FFEB}" sourceName="Disease_Status">
  <pivotTables>
    <pivotTable tabId="3" name="PivotTable4"/>
    <pivotTable tabId="3" name="PivotTable1"/>
    <pivotTable tabId="3" name="PivotTable2"/>
    <pivotTable tabId="3" name="PivotTable5"/>
    <pivotTable tabId="3" name="PivotTable6"/>
    <pivotTable tabId="3" name="PivotTable7"/>
    <pivotTable tabId="3" name="PivotTable8"/>
    <pivotTable tabId="3" name="PivotTable9"/>
  </pivotTables>
  <data>
    <tabular pivotCacheId="103250219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st_Pain_Type" xr10:uid="{9009ADB4-57D6-40CA-9E3C-51A6A72B6CF5}" sourceName="Chest_Pain_Type">
  <pivotTables>
    <pivotTable tabId="3" name="PivotTable4"/>
    <pivotTable tabId="3" name="PivotTable1"/>
    <pivotTable tabId="3" name="PivotTable2"/>
    <pivotTable tabId="3" name="PivotTable5"/>
    <pivotTable tabId="3" name="PivotTable6"/>
    <pivotTable tabId="3" name="PivotTable7"/>
    <pivotTable tabId="3" name="PivotTable8"/>
    <pivotTable tabId="3" name="PivotTable9"/>
  </pivotTables>
  <data>
    <tabular pivotCacheId="1032502198">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7E710E6-2D6C-4D51-A411-A50476B27E96}" sourceName="Age_Group">
  <pivotTables>
    <pivotTable tabId="3" name="PivotTable4"/>
    <pivotTable tabId="3" name="PivotTable1"/>
    <pivotTable tabId="3" name="PivotTable2"/>
    <pivotTable tabId="3" name="PivotTable5"/>
    <pivotTable tabId="3" name="PivotTable6"/>
    <pivotTable tabId="3" name="PivotTable7"/>
    <pivotTable tabId="3" name="PivotTable8"/>
    <pivotTable tabId="3" name="PivotTable9"/>
  </pivotTables>
  <data>
    <tabular pivotCacheId="1032502198">
      <items count="5">
        <i x="4" s="1"/>
        <i x="3" s="1"/>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P_Category" xr10:uid="{B52DCA32-3369-4D05-A03F-85690FD2E305}" sourceName="BP_Category">
  <pivotTables>
    <pivotTable tabId="3" name="PivotTable4"/>
    <pivotTable tabId="3" name="PivotTable1"/>
    <pivotTable tabId="3" name="PivotTable2"/>
    <pivotTable tabId="3" name="PivotTable5"/>
    <pivotTable tabId="3" name="PivotTable6"/>
    <pivotTable tabId="3" name="PivotTable7"/>
    <pivotTable tabId="3" name="PivotTable8"/>
    <pivotTable tabId="3" name="PivotTable9"/>
  </pivotTables>
  <data>
    <tabular pivotCacheId="1032502198">
      <items count="4">
        <i x="0"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299B4880-770E-48C0-8295-D56C9590B316}" sourceName="sex">
  <pivotTables>
    <pivotTable tabId="3" name="PivotTable5"/>
    <pivotTable tabId="3" name="PivotTable1"/>
    <pivotTable tabId="3" name="PivotTable2"/>
    <pivotTable tabId="3" name="PivotTable4"/>
    <pivotTable tabId="3" name="PivotTable6"/>
    <pivotTable tabId="3" name="PivotTable7"/>
    <pivotTable tabId="3" name="PivotTable8"/>
    <pivotTable tabId="3" name="PivotTable9"/>
  </pivotTables>
  <data>
    <tabular pivotCacheId="103250219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4605787-5F2E-4B60-B384-27538439AF8A}" cache="Slicer_Gender" caption="Gender" style="SlicerStyleDark6" rowHeight="234950"/>
  <slicer name="Disease_Status" xr10:uid="{DE4C75D9-87A6-4CAD-9791-AE5D974A3D47}" cache="Slicer_Disease_Status" caption="Disease_Status" style="SlicerStyleDark6" rowHeight="234950"/>
  <slicer name="Chest_Pain_Type" xr10:uid="{B71F6ABA-9768-49A7-ACF3-E65448A4C722}" cache="Slicer_Chest_Pain_Type" caption="Chest_Pain_Type" style="SlicerStyleDark6" rowHeight="234950"/>
  <slicer name="Age_Group" xr10:uid="{E7275B5E-60E9-48A4-B215-218CF2BD6FE5}" cache="Slicer_Age_Group" caption="Age_Group" style="SlicerStyleDark6" rowHeight="234950"/>
  <slicer name="BP_Category" xr10:uid="{95537A16-1CF6-46DE-B5A4-B05E56583E2B}" cache="Slicer_BP_Category" caption="BP_Category" style="SlicerStyleDark6" rowHeight="234950"/>
  <slicer name="sex" xr10:uid="{513FCA0E-B445-4DF7-9C5A-A1C00CDF8C70}" cache="Slicer_sex" caption="sex"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F82B60-E824-4395-961B-ACB040E731C5}" name="BP_DATA" displayName="BP_DATA" ref="A1:U1028" totalsRowShown="0">
  <autoFilter ref="A1:U1028" xr:uid="{DCF82B60-E824-4395-961B-ACB040E731C5}"/>
  <tableColumns count="21">
    <tableColumn id="1" xr3:uid="{D21446F5-0163-465D-B179-8B5D40C78B6A}" name="age"/>
    <tableColumn id="2" xr3:uid="{73E9D2FB-4E15-4465-A21D-364E929D67AA}" name="sex"/>
    <tableColumn id="3" xr3:uid="{F080AA9A-D305-4C77-87E1-E3A1905C87F4}" name="cp"/>
    <tableColumn id="4" xr3:uid="{93545439-151A-4A69-85AC-127F60E68D5E}" name="trestbps"/>
    <tableColumn id="5" xr3:uid="{0B77787D-8751-4466-B7A7-5C175E2F44D6}" name="chol"/>
    <tableColumn id="6" xr3:uid="{309A024C-8706-4CF7-AB57-4DE28C8BF036}" name="fbs"/>
    <tableColumn id="7" xr3:uid="{08B4E587-7EEF-4BD1-8DE0-54ED936E0B65}" name="restecg"/>
    <tableColumn id="8" xr3:uid="{C9C21C47-0ABB-4337-898A-E928F5B1F18B}" name="thalach"/>
    <tableColumn id="9" xr3:uid="{3845079B-E390-47E6-98AC-747722B657C3}" name="exang"/>
    <tableColumn id="10" xr3:uid="{9717755B-513E-481C-92DB-C619A94AA806}" name="oldpeak"/>
    <tableColumn id="11" xr3:uid="{4DA4626C-5A45-421C-89FC-4E199F8C3882}" name="slope"/>
    <tableColumn id="12" xr3:uid="{9E1BB012-19F5-4FFE-9C1C-EABC6F5597AC}" name="ca"/>
    <tableColumn id="13" xr3:uid="{5C289EDA-70C6-40B5-AB5F-B9AF950F823E}" name="thal"/>
    <tableColumn id="14" xr3:uid="{CAD47719-83EE-4AF5-A552-AB24151352ED}" name="target"/>
    <tableColumn id="15" xr3:uid="{D3E51B39-EC69-4502-AAE3-268B2C481719}" name="Gender" dataDxfId="6">
      <calculatedColumnFormula>IF(B2=1,"Male","Female")</calculatedColumnFormula>
    </tableColumn>
    <tableColumn id="16" xr3:uid="{FDD5909D-8EC7-4E3B-A395-9CC5F2B52678}" name="Disease_Status" dataDxfId="5">
      <calculatedColumnFormula>IF(N2=1,"Heart Disease","No Disease")</calculatedColumnFormula>
    </tableColumn>
    <tableColumn id="17" xr3:uid="{C871B0D4-4C8A-474F-AD37-856C01623A18}" name="Chest_Pain_Type" dataDxfId="4">
      <calculatedColumnFormula>IF(C2=0,"Typical Angina",IF(C2=1,"Atypical Angina",IF(C2=2,"Non-Anginal Pain","Asymptomatic")))</calculatedColumnFormula>
    </tableColumn>
    <tableColumn id="18" xr3:uid="{AFD0064F-BFE3-4962-9C55-06137FD1FBB5}" name="Fasting Blood Sugar" dataDxfId="3">
      <calculatedColumnFormula>IF(F2=1,"High","Normal")</calculatedColumnFormula>
    </tableColumn>
    <tableColumn id="19" xr3:uid="{65BE4DDC-3DA5-4130-9738-9B74B54B8848}" name="Exercise_Angina" dataDxfId="2">
      <calculatedColumnFormula>IF(I2=1,"Yes","No")</calculatedColumnFormula>
    </tableColumn>
    <tableColumn id="20" xr3:uid="{B5EEF478-FEC5-46FF-8790-00363D281015}" name="Age_Group" dataDxfId="1">
      <calculatedColumnFormula>IF(A2&lt;30,"18-29",)</calculatedColumnFormula>
    </tableColumn>
    <tableColumn id="21" xr3:uid="{46DB984C-8D38-432C-BD56-B2A5AD71C9D3}" name="BP_Category" dataDxfId="0">
      <calculatedColumnFormula>IF(D2&lt;120,"Normal",IF(D2&lt;130,"Elevated",IF(D2&lt;140,"High (Stage 1)","High (Stage 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893B-C4BC-473C-BA84-8946023C848F}">
  <dimension ref="A1:U1028"/>
  <sheetViews>
    <sheetView zoomScale="90" workbookViewId="0">
      <selection activeCell="A2" sqref="A2"/>
    </sheetView>
  </sheetViews>
  <sheetFormatPr defaultRowHeight="14.4"/>
  <cols>
    <col min="1" max="1" width="15.44140625" customWidth="1"/>
    <col min="2" max="2" width="15.6640625" customWidth="1"/>
    <col min="3" max="3" width="13.77734375" customWidth="1"/>
    <col min="4" max="4" width="16" customWidth="1"/>
    <col min="5" max="5" width="12.6640625" customWidth="1"/>
    <col min="6" max="6" width="14.21875" customWidth="1"/>
    <col min="7" max="7" width="11.44140625" customWidth="1"/>
    <col min="8" max="8" width="13.21875" customWidth="1"/>
    <col min="9" max="9" width="10.33203125" customWidth="1"/>
    <col min="10" max="10" width="14.44140625" customWidth="1"/>
    <col min="11" max="11" width="14.109375" customWidth="1"/>
    <col min="12" max="12" width="13.109375" customWidth="1"/>
    <col min="13" max="13" width="14.33203125" customWidth="1"/>
    <col min="14" max="14" width="14.5546875" customWidth="1"/>
    <col min="16" max="16" width="18" customWidth="1"/>
    <col min="17" max="17" width="18.6640625" customWidth="1"/>
    <col min="18" max="18" width="14.5546875" customWidth="1"/>
    <col min="19" max="19" width="13.21875" customWidth="1"/>
    <col min="21" max="21" width="11.88671875" customWidth="1"/>
  </cols>
  <sheetData>
    <row r="1" spans="1:21">
      <c r="A1" t="s">
        <v>0</v>
      </c>
      <c r="B1" t="s">
        <v>1</v>
      </c>
      <c r="C1" t="s">
        <v>2</v>
      </c>
      <c r="D1" t="s">
        <v>3</v>
      </c>
      <c r="E1" t="s">
        <v>4</v>
      </c>
      <c r="F1" t="s">
        <v>5</v>
      </c>
      <c r="G1" t="s">
        <v>6</v>
      </c>
      <c r="H1" t="s">
        <v>7</v>
      </c>
      <c r="I1" t="s">
        <v>8</v>
      </c>
      <c r="J1" t="s">
        <v>9</v>
      </c>
      <c r="K1" t="s">
        <v>10</v>
      </c>
      <c r="L1" t="s">
        <v>11</v>
      </c>
      <c r="M1" t="s">
        <v>12</v>
      </c>
      <c r="N1" t="s">
        <v>13</v>
      </c>
      <c r="O1" t="s">
        <v>27</v>
      </c>
      <c r="P1" t="s">
        <v>28</v>
      </c>
      <c r="Q1" t="s">
        <v>29</v>
      </c>
      <c r="R1" t="s">
        <v>30</v>
      </c>
      <c r="S1" t="s">
        <v>31</v>
      </c>
      <c r="T1" t="s">
        <v>32</v>
      </c>
      <c r="U1" t="s">
        <v>33</v>
      </c>
    </row>
    <row r="2" spans="1:21">
      <c r="A2">
        <v>52</v>
      </c>
      <c r="B2">
        <v>1</v>
      </c>
      <c r="C2">
        <v>0</v>
      </c>
      <c r="D2">
        <v>125</v>
      </c>
      <c r="E2">
        <v>212</v>
      </c>
      <c r="F2">
        <v>0</v>
      </c>
      <c r="G2">
        <v>1</v>
      </c>
      <c r="H2">
        <v>168</v>
      </c>
      <c r="I2">
        <v>0</v>
      </c>
      <c r="J2">
        <v>1</v>
      </c>
      <c r="K2">
        <v>2</v>
      </c>
      <c r="L2">
        <v>2</v>
      </c>
      <c r="M2">
        <v>3</v>
      </c>
      <c r="N2">
        <v>0</v>
      </c>
      <c r="O2" t="str">
        <f t="shared" ref="O2:O65" si="0">IF(B2=1,"Male","Female")</f>
        <v>Male</v>
      </c>
      <c r="P2" t="str">
        <f t="shared" ref="P2:P65" si="1">IF(N2=1,"Heart Disease","No Disease")</f>
        <v>No Disease</v>
      </c>
      <c r="Q2" t="str">
        <f t="shared" ref="Q2:Q65" si="2">IF(C2=0,"Typical Angina",IF(C2=1,"Atypical Angina",IF(C2=2,"Non-Anginal Pain","Asymptomatic")))</f>
        <v>Typical Angina</v>
      </c>
      <c r="R2" t="str">
        <f t="shared" ref="R2:R65" si="3">IF(F2=1,"High","Normal")</f>
        <v>Normal</v>
      </c>
      <c r="S2" t="str">
        <f t="shared" ref="S2:S65" si="4">IF(I2=1,"Yes","No")</f>
        <v>No</v>
      </c>
      <c r="T2" t="str" cm="1">
        <f t="array" ref="T2">_xlfn.IFS(A2&lt;30,"18-29",A2&lt;40,"30-39",A2&lt;50,"40-49",A2&lt;60,"50-59",A2&gt;=60,"60+")</f>
        <v>50-59</v>
      </c>
      <c r="U2" t="str">
        <f t="shared" ref="U2:U65" si="5">IF(D2&lt;120,"Normal",IF(D2&lt;130,"Elevated",IF(D2&lt;140,"High (Stage 1)","High (Stage 2)")))</f>
        <v>Elevated</v>
      </c>
    </row>
    <row r="3" spans="1:21">
      <c r="A3">
        <v>53</v>
      </c>
      <c r="B3">
        <v>1</v>
      </c>
      <c r="C3">
        <v>0</v>
      </c>
      <c r="D3">
        <v>140</v>
      </c>
      <c r="E3">
        <v>203</v>
      </c>
      <c r="F3">
        <v>1</v>
      </c>
      <c r="G3">
        <v>0</v>
      </c>
      <c r="H3">
        <v>155</v>
      </c>
      <c r="I3">
        <v>1</v>
      </c>
      <c r="J3">
        <v>3.1</v>
      </c>
      <c r="K3">
        <v>0</v>
      </c>
      <c r="L3">
        <v>0</v>
      </c>
      <c r="M3">
        <v>3</v>
      </c>
      <c r="N3">
        <v>0</v>
      </c>
      <c r="O3" t="str">
        <f t="shared" si="0"/>
        <v>Male</v>
      </c>
      <c r="P3" t="str">
        <f t="shared" si="1"/>
        <v>No Disease</v>
      </c>
      <c r="Q3" t="str">
        <f t="shared" si="2"/>
        <v>Typical Angina</v>
      </c>
      <c r="R3" t="str">
        <f t="shared" si="3"/>
        <v>High</v>
      </c>
      <c r="S3" t="str">
        <f t="shared" si="4"/>
        <v>Yes</v>
      </c>
      <c r="T3" t="str" cm="1">
        <f t="array" ref="T3">_xlfn.IFS(A2&lt;30,"18-29",A2&lt;40,"30-39",A2&lt;50,"40-49",A2&lt;60,"50-59",A2&gt;=60,"60+")</f>
        <v>50-59</v>
      </c>
      <c r="U3" t="str">
        <f t="shared" si="5"/>
        <v>High (Stage 2)</v>
      </c>
    </row>
    <row r="4" spans="1:21">
      <c r="A4">
        <v>70</v>
      </c>
      <c r="B4">
        <v>1</v>
      </c>
      <c r="C4">
        <v>0</v>
      </c>
      <c r="D4">
        <v>145</v>
      </c>
      <c r="E4">
        <v>174</v>
      </c>
      <c r="F4">
        <v>0</v>
      </c>
      <c r="G4">
        <v>1</v>
      </c>
      <c r="H4">
        <v>125</v>
      </c>
      <c r="I4">
        <v>1</v>
      </c>
      <c r="J4">
        <v>2.6</v>
      </c>
      <c r="K4">
        <v>0</v>
      </c>
      <c r="L4">
        <v>0</v>
      </c>
      <c r="M4">
        <v>3</v>
      </c>
      <c r="N4">
        <v>0</v>
      </c>
      <c r="O4" t="str">
        <f t="shared" si="0"/>
        <v>Male</v>
      </c>
      <c r="P4" t="str">
        <f t="shared" si="1"/>
        <v>No Disease</v>
      </c>
      <c r="Q4" t="str">
        <f t="shared" si="2"/>
        <v>Typical Angina</v>
      </c>
      <c r="R4" t="str">
        <f t="shared" si="3"/>
        <v>Normal</v>
      </c>
      <c r="S4" t="str">
        <f t="shared" si="4"/>
        <v>Yes</v>
      </c>
      <c r="T4" t="str" cm="1">
        <f t="array" ref="T4">_xlfn.IFS(A3&lt;30,"18-29",A3&lt;40,"30-39",A3&lt;50,"40-49",A3&lt;60,"50-59",A3&gt;=60,"60+")</f>
        <v>50-59</v>
      </c>
      <c r="U4" t="str">
        <f t="shared" si="5"/>
        <v>High (Stage 2)</v>
      </c>
    </row>
    <row r="5" spans="1:21">
      <c r="A5">
        <v>61</v>
      </c>
      <c r="B5">
        <v>1</v>
      </c>
      <c r="C5">
        <v>0</v>
      </c>
      <c r="D5">
        <v>148</v>
      </c>
      <c r="E5">
        <v>203</v>
      </c>
      <c r="F5">
        <v>0</v>
      </c>
      <c r="G5">
        <v>1</v>
      </c>
      <c r="H5">
        <v>161</v>
      </c>
      <c r="I5">
        <v>0</v>
      </c>
      <c r="J5">
        <v>0</v>
      </c>
      <c r="K5">
        <v>2</v>
      </c>
      <c r="L5">
        <v>1</v>
      </c>
      <c r="M5">
        <v>3</v>
      </c>
      <c r="N5">
        <v>0</v>
      </c>
      <c r="O5" t="str">
        <f t="shared" si="0"/>
        <v>Male</v>
      </c>
      <c r="P5" t="str">
        <f t="shared" si="1"/>
        <v>No Disease</v>
      </c>
      <c r="Q5" t="str">
        <f t="shared" si="2"/>
        <v>Typical Angina</v>
      </c>
      <c r="R5" t="str">
        <f t="shared" si="3"/>
        <v>Normal</v>
      </c>
      <c r="S5" t="str">
        <f t="shared" si="4"/>
        <v>No</v>
      </c>
      <c r="T5" t="str" cm="1">
        <f t="array" ref="T5">_xlfn.IFS(A4&lt;30,"18-29",A4&lt;40,"30-39",A4&lt;50,"40-49",A4&lt;60,"50-59",A4&gt;=60,"60+")</f>
        <v>60+</v>
      </c>
      <c r="U5" t="str">
        <f t="shared" si="5"/>
        <v>High (Stage 2)</v>
      </c>
    </row>
    <row r="6" spans="1:21">
      <c r="A6">
        <v>62</v>
      </c>
      <c r="B6">
        <v>0</v>
      </c>
      <c r="C6">
        <v>0</v>
      </c>
      <c r="D6">
        <v>138</v>
      </c>
      <c r="E6">
        <v>294</v>
      </c>
      <c r="F6">
        <v>1</v>
      </c>
      <c r="G6">
        <v>1</v>
      </c>
      <c r="H6">
        <v>106</v>
      </c>
      <c r="I6">
        <v>0</v>
      </c>
      <c r="J6">
        <v>1.9</v>
      </c>
      <c r="K6">
        <v>1</v>
      </c>
      <c r="L6">
        <v>3</v>
      </c>
      <c r="M6">
        <v>2</v>
      </c>
      <c r="N6">
        <v>0</v>
      </c>
      <c r="O6" t="str">
        <f t="shared" si="0"/>
        <v>Female</v>
      </c>
      <c r="P6" t="str">
        <f t="shared" si="1"/>
        <v>No Disease</v>
      </c>
      <c r="Q6" t="str">
        <f t="shared" si="2"/>
        <v>Typical Angina</v>
      </c>
      <c r="R6" t="str">
        <f t="shared" si="3"/>
        <v>High</v>
      </c>
      <c r="S6" t="str">
        <f t="shared" si="4"/>
        <v>No</v>
      </c>
      <c r="T6" t="str" cm="1">
        <f t="array" ref="T6">_xlfn.IFS(A5&lt;30,"18-29",A5&lt;40,"30-39",A5&lt;50,"40-49",A5&lt;60,"50-59",A5&gt;=60,"60+")</f>
        <v>60+</v>
      </c>
      <c r="U6" t="str">
        <f t="shared" si="5"/>
        <v>High (Stage 1)</v>
      </c>
    </row>
    <row r="7" spans="1:21">
      <c r="A7">
        <v>58</v>
      </c>
      <c r="B7">
        <v>0</v>
      </c>
      <c r="C7">
        <v>0</v>
      </c>
      <c r="D7">
        <v>100</v>
      </c>
      <c r="E7">
        <v>248</v>
      </c>
      <c r="F7">
        <v>0</v>
      </c>
      <c r="G7">
        <v>0</v>
      </c>
      <c r="H7">
        <v>122</v>
      </c>
      <c r="I7">
        <v>0</v>
      </c>
      <c r="J7">
        <v>1</v>
      </c>
      <c r="K7">
        <v>1</v>
      </c>
      <c r="L7">
        <v>0</v>
      </c>
      <c r="M7">
        <v>2</v>
      </c>
      <c r="N7">
        <v>1</v>
      </c>
      <c r="O7" t="str">
        <f t="shared" si="0"/>
        <v>Female</v>
      </c>
      <c r="P7" t="str">
        <f t="shared" si="1"/>
        <v>Heart Disease</v>
      </c>
      <c r="Q7" t="str">
        <f t="shared" si="2"/>
        <v>Typical Angina</v>
      </c>
      <c r="R7" t="str">
        <f t="shared" si="3"/>
        <v>Normal</v>
      </c>
      <c r="S7" t="str">
        <f t="shared" si="4"/>
        <v>No</v>
      </c>
      <c r="T7" t="str" cm="1">
        <f t="array" ref="T7">_xlfn.IFS(A6&lt;30,"18-29",A6&lt;40,"30-39",A6&lt;50,"40-49",A6&lt;60,"50-59",A6&gt;=60,"60+")</f>
        <v>60+</v>
      </c>
      <c r="U7" t="str">
        <f t="shared" si="5"/>
        <v>Normal</v>
      </c>
    </row>
    <row r="8" spans="1:21">
      <c r="A8">
        <v>58</v>
      </c>
      <c r="B8">
        <v>1</v>
      </c>
      <c r="C8">
        <v>0</v>
      </c>
      <c r="D8">
        <v>114</v>
      </c>
      <c r="E8">
        <v>318</v>
      </c>
      <c r="F8">
        <v>0</v>
      </c>
      <c r="G8">
        <v>2</v>
      </c>
      <c r="H8">
        <v>140</v>
      </c>
      <c r="I8">
        <v>0</v>
      </c>
      <c r="J8">
        <v>4.4000000000000004</v>
      </c>
      <c r="K8">
        <v>0</v>
      </c>
      <c r="L8">
        <v>3</v>
      </c>
      <c r="M8">
        <v>1</v>
      </c>
      <c r="N8">
        <v>0</v>
      </c>
      <c r="O8" t="str">
        <f t="shared" si="0"/>
        <v>Male</v>
      </c>
      <c r="P8" t="str">
        <f t="shared" si="1"/>
        <v>No Disease</v>
      </c>
      <c r="Q8" t="str">
        <f t="shared" si="2"/>
        <v>Typical Angina</v>
      </c>
      <c r="R8" t="str">
        <f t="shared" si="3"/>
        <v>Normal</v>
      </c>
      <c r="S8" t="str">
        <f t="shared" si="4"/>
        <v>No</v>
      </c>
      <c r="T8" t="str" cm="1">
        <f t="array" ref="T8">_xlfn.IFS(A7&lt;30,"18-29",A7&lt;40,"30-39",A7&lt;50,"40-49",A7&lt;60,"50-59",A7&gt;=60,"60+")</f>
        <v>50-59</v>
      </c>
      <c r="U8" t="str">
        <f t="shared" si="5"/>
        <v>Normal</v>
      </c>
    </row>
    <row r="9" spans="1:21">
      <c r="A9">
        <v>55</v>
      </c>
      <c r="B9">
        <v>1</v>
      </c>
      <c r="C9">
        <v>0</v>
      </c>
      <c r="D9">
        <v>160</v>
      </c>
      <c r="E9">
        <v>289</v>
      </c>
      <c r="F9">
        <v>0</v>
      </c>
      <c r="G9">
        <v>0</v>
      </c>
      <c r="H9">
        <v>145</v>
      </c>
      <c r="I9">
        <v>1</v>
      </c>
      <c r="J9">
        <v>0.8</v>
      </c>
      <c r="K9">
        <v>1</v>
      </c>
      <c r="L9">
        <v>1</v>
      </c>
      <c r="M9">
        <v>3</v>
      </c>
      <c r="N9">
        <v>0</v>
      </c>
      <c r="O9" t="str">
        <f t="shared" si="0"/>
        <v>Male</v>
      </c>
      <c r="P9" t="str">
        <f t="shared" si="1"/>
        <v>No Disease</v>
      </c>
      <c r="Q9" t="str">
        <f t="shared" si="2"/>
        <v>Typical Angina</v>
      </c>
      <c r="R9" t="str">
        <f t="shared" si="3"/>
        <v>Normal</v>
      </c>
      <c r="S9" t="str">
        <f t="shared" si="4"/>
        <v>Yes</v>
      </c>
      <c r="T9" t="str" cm="1">
        <f t="array" ref="T9">_xlfn.IFS(A8&lt;30,"18-29",A8&lt;40,"30-39",A8&lt;50,"40-49",A8&lt;60,"50-59",A8&gt;=60,"60+")</f>
        <v>50-59</v>
      </c>
      <c r="U9" t="str">
        <f t="shared" si="5"/>
        <v>High (Stage 2)</v>
      </c>
    </row>
    <row r="10" spans="1:21">
      <c r="A10">
        <v>46</v>
      </c>
      <c r="B10">
        <v>1</v>
      </c>
      <c r="C10">
        <v>0</v>
      </c>
      <c r="D10">
        <v>120</v>
      </c>
      <c r="E10">
        <v>249</v>
      </c>
      <c r="F10">
        <v>0</v>
      </c>
      <c r="G10">
        <v>0</v>
      </c>
      <c r="H10">
        <v>144</v>
      </c>
      <c r="I10">
        <v>0</v>
      </c>
      <c r="J10">
        <v>0.8</v>
      </c>
      <c r="K10">
        <v>2</v>
      </c>
      <c r="L10">
        <v>0</v>
      </c>
      <c r="M10">
        <v>3</v>
      </c>
      <c r="N10">
        <v>0</v>
      </c>
      <c r="O10" t="str">
        <f t="shared" si="0"/>
        <v>Male</v>
      </c>
      <c r="P10" t="str">
        <f t="shared" si="1"/>
        <v>No Disease</v>
      </c>
      <c r="Q10" t="str">
        <f t="shared" si="2"/>
        <v>Typical Angina</v>
      </c>
      <c r="R10" t="str">
        <f t="shared" si="3"/>
        <v>Normal</v>
      </c>
      <c r="S10" t="str">
        <f t="shared" si="4"/>
        <v>No</v>
      </c>
      <c r="T10" t="str" cm="1">
        <f t="array" ref="T10">_xlfn.IFS(A9&lt;30,"18-29",A9&lt;40,"30-39",A9&lt;50,"40-49",A9&lt;60,"50-59",A9&gt;=60,"60+")</f>
        <v>50-59</v>
      </c>
      <c r="U10" t="str">
        <f t="shared" si="5"/>
        <v>Elevated</v>
      </c>
    </row>
    <row r="11" spans="1:21">
      <c r="A11">
        <v>54</v>
      </c>
      <c r="B11">
        <v>1</v>
      </c>
      <c r="C11">
        <v>0</v>
      </c>
      <c r="D11">
        <v>122</v>
      </c>
      <c r="E11">
        <v>286</v>
      </c>
      <c r="F11">
        <v>0</v>
      </c>
      <c r="G11">
        <v>0</v>
      </c>
      <c r="H11">
        <v>116</v>
      </c>
      <c r="I11">
        <v>1</v>
      </c>
      <c r="J11">
        <v>3.2</v>
      </c>
      <c r="K11">
        <v>1</v>
      </c>
      <c r="L11">
        <v>2</v>
      </c>
      <c r="M11">
        <v>2</v>
      </c>
      <c r="N11">
        <v>0</v>
      </c>
      <c r="O11" t="str">
        <f t="shared" si="0"/>
        <v>Male</v>
      </c>
      <c r="P11" t="str">
        <f t="shared" si="1"/>
        <v>No Disease</v>
      </c>
      <c r="Q11" t="str">
        <f t="shared" si="2"/>
        <v>Typical Angina</v>
      </c>
      <c r="R11" t="str">
        <f t="shared" si="3"/>
        <v>Normal</v>
      </c>
      <c r="S11" t="str">
        <f t="shared" si="4"/>
        <v>Yes</v>
      </c>
      <c r="T11" t="str" cm="1">
        <f t="array" ref="T11">_xlfn.IFS(A10&lt;30,"18-29",A10&lt;40,"30-39",A10&lt;50,"40-49",A10&lt;60,"50-59",A10&gt;=60,"60+")</f>
        <v>40-49</v>
      </c>
      <c r="U11" t="str">
        <f t="shared" si="5"/>
        <v>Elevated</v>
      </c>
    </row>
    <row r="12" spans="1:21">
      <c r="A12">
        <v>71</v>
      </c>
      <c r="B12">
        <v>0</v>
      </c>
      <c r="C12">
        <v>0</v>
      </c>
      <c r="D12">
        <v>112</v>
      </c>
      <c r="E12">
        <v>149</v>
      </c>
      <c r="F12">
        <v>0</v>
      </c>
      <c r="G12">
        <v>1</v>
      </c>
      <c r="H12">
        <v>125</v>
      </c>
      <c r="I12">
        <v>0</v>
      </c>
      <c r="J12">
        <v>1.6</v>
      </c>
      <c r="K12">
        <v>1</v>
      </c>
      <c r="L12">
        <v>0</v>
      </c>
      <c r="M12">
        <v>2</v>
      </c>
      <c r="N12">
        <v>1</v>
      </c>
      <c r="O12" t="str">
        <f t="shared" si="0"/>
        <v>Female</v>
      </c>
      <c r="P12" t="str">
        <f t="shared" si="1"/>
        <v>Heart Disease</v>
      </c>
      <c r="Q12" t="str">
        <f t="shared" si="2"/>
        <v>Typical Angina</v>
      </c>
      <c r="R12" t="str">
        <f t="shared" si="3"/>
        <v>Normal</v>
      </c>
      <c r="S12" t="str">
        <f t="shared" si="4"/>
        <v>No</v>
      </c>
      <c r="T12" t="str" cm="1">
        <f t="array" ref="T12">_xlfn.IFS(A11&lt;30,"18-29",A11&lt;40,"30-39",A11&lt;50,"40-49",A11&lt;60,"50-59",A11&gt;=60,"60+")</f>
        <v>50-59</v>
      </c>
      <c r="U12" t="str">
        <f t="shared" si="5"/>
        <v>Normal</v>
      </c>
    </row>
    <row r="13" spans="1:21">
      <c r="A13">
        <v>43</v>
      </c>
      <c r="B13">
        <v>0</v>
      </c>
      <c r="C13">
        <v>0</v>
      </c>
      <c r="D13">
        <v>132</v>
      </c>
      <c r="E13">
        <v>341</v>
      </c>
      <c r="F13">
        <v>1</v>
      </c>
      <c r="G13">
        <v>0</v>
      </c>
      <c r="H13">
        <v>136</v>
      </c>
      <c r="I13">
        <v>1</v>
      </c>
      <c r="J13">
        <v>3</v>
      </c>
      <c r="K13">
        <v>1</v>
      </c>
      <c r="L13">
        <v>0</v>
      </c>
      <c r="M13">
        <v>3</v>
      </c>
      <c r="N13">
        <v>0</v>
      </c>
      <c r="O13" t="str">
        <f t="shared" si="0"/>
        <v>Female</v>
      </c>
      <c r="P13" t="str">
        <f t="shared" si="1"/>
        <v>No Disease</v>
      </c>
      <c r="Q13" t="str">
        <f t="shared" si="2"/>
        <v>Typical Angina</v>
      </c>
      <c r="R13" t="str">
        <f t="shared" si="3"/>
        <v>High</v>
      </c>
      <c r="S13" t="str">
        <f t="shared" si="4"/>
        <v>Yes</v>
      </c>
      <c r="T13" t="str" cm="1">
        <f t="array" ref="T13">_xlfn.IFS(A12&lt;30,"18-29",A12&lt;40,"30-39",A12&lt;50,"40-49",A12&lt;60,"50-59",A12&gt;=60,"60+")</f>
        <v>60+</v>
      </c>
      <c r="U13" t="str">
        <f t="shared" si="5"/>
        <v>High (Stage 1)</v>
      </c>
    </row>
    <row r="14" spans="1:21">
      <c r="A14">
        <v>34</v>
      </c>
      <c r="B14">
        <v>0</v>
      </c>
      <c r="C14">
        <v>1</v>
      </c>
      <c r="D14">
        <v>118</v>
      </c>
      <c r="E14">
        <v>210</v>
      </c>
      <c r="F14">
        <v>0</v>
      </c>
      <c r="G14">
        <v>1</v>
      </c>
      <c r="H14">
        <v>192</v>
      </c>
      <c r="I14">
        <v>0</v>
      </c>
      <c r="J14">
        <v>0.7</v>
      </c>
      <c r="K14">
        <v>2</v>
      </c>
      <c r="L14">
        <v>0</v>
      </c>
      <c r="M14">
        <v>2</v>
      </c>
      <c r="N14">
        <v>1</v>
      </c>
      <c r="O14" t="str">
        <f t="shared" si="0"/>
        <v>Female</v>
      </c>
      <c r="P14" t="str">
        <f t="shared" si="1"/>
        <v>Heart Disease</v>
      </c>
      <c r="Q14" t="str">
        <f t="shared" si="2"/>
        <v>Atypical Angina</v>
      </c>
      <c r="R14" t="str">
        <f t="shared" si="3"/>
        <v>Normal</v>
      </c>
      <c r="S14" t="str">
        <f t="shared" si="4"/>
        <v>No</v>
      </c>
      <c r="T14" t="str" cm="1">
        <f t="array" ref="T14">_xlfn.IFS(A13&lt;30,"18-29",A13&lt;40,"30-39",A13&lt;50,"40-49",A13&lt;60,"50-59",A13&gt;=60,"60+")</f>
        <v>40-49</v>
      </c>
      <c r="U14" t="str">
        <f t="shared" si="5"/>
        <v>Normal</v>
      </c>
    </row>
    <row r="15" spans="1:21">
      <c r="A15">
        <v>51</v>
      </c>
      <c r="B15">
        <v>1</v>
      </c>
      <c r="C15">
        <v>0</v>
      </c>
      <c r="D15">
        <v>140</v>
      </c>
      <c r="E15">
        <v>298</v>
      </c>
      <c r="F15">
        <v>0</v>
      </c>
      <c r="G15">
        <v>1</v>
      </c>
      <c r="H15">
        <v>122</v>
      </c>
      <c r="I15">
        <v>1</v>
      </c>
      <c r="J15">
        <v>4.2</v>
      </c>
      <c r="K15">
        <v>1</v>
      </c>
      <c r="L15">
        <v>3</v>
      </c>
      <c r="M15">
        <v>3</v>
      </c>
      <c r="N15">
        <v>0</v>
      </c>
      <c r="O15" t="str">
        <f t="shared" si="0"/>
        <v>Male</v>
      </c>
      <c r="P15" t="str">
        <f t="shared" si="1"/>
        <v>No Disease</v>
      </c>
      <c r="Q15" t="str">
        <f t="shared" si="2"/>
        <v>Typical Angina</v>
      </c>
      <c r="R15" t="str">
        <f t="shared" si="3"/>
        <v>Normal</v>
      </c>
      <c r="S15" t="str">
        <f t="shared" si="4"/>
        <v>Yes</v>
      </c>
      <c r="T15" t="str" cm="1">
        <f t="array" ref="T15">_xlfn.IFS(A14&lt;30,"18-29",A14&lt;40,"30-39",A14&lt;50,"40-49",A14&lt;60,"50-59",A14&gt;=60,"60+")</f>
        <v>30-39</v>
      </c>
      <c r="U15" t="str">
        <f t="shared" si="5"/>
        <v>High (Stage 2)</v>
      </c>
    </row>
    <row r="16" spans="1:21">
      <c r="A16">
        <v>52</v>
      </c>
      <c r="B16">
        <v>1</v>
      </c>
      <c r="C16">
        <v>0</v>
      </c>
      <c r="D16">
        <v>128</v>
      </c>
      <c r="E16">
        <v>204</v>
      </c>
      <c r="F16">
        <v>1</v>
      </c>
      <c r="G16">
        <v>1</v>
      </c>
      <c r="H16">
        <v>156</v>
      </c>
      <c r="I16">
        <v>1</v>
      </c>
      <c r="J16">
        <v>1</v>
      </c>
      <c r="K16">
        <v>1</v>
      </c>
      <c r="L16">
        <v>0</v>
      </c>
      <c r="M16">
        <v>0</v>
      </c>
      <c r="N16">
        <v>0</v>
      </c>
      <c r="O16" t="str">
        <f t="shared" si="0"/>
        <v>Male</v>
      </c>
      <c r="P16" t="str">
        <f t="shared" si="1"/>
        <v>No Disease</v>
      </c>
      <c r="Q16" t="str">
        <f t="shared" si="2"/>
        <v>Typical Angina</v>
      </c>
      <c r="R16" t="str">
        <f t="shared" si="3"/>
        <v>High</v>
      </c>
      <c r="S16" t="str">
        <f t="shared" si="4"/>
        <v>Yes</v>
      </c>
      <c r="T16" t="str" cm="1">
        <f t="array" ref="T16">_xlfn.IFS(A15&lt;30,"18-29",A15&lt;40,"30-39",A15&lt;50,"40-49",A15&lt;60,"50-59",A15&gt;=60,"60+")</f>
        <v>50-59</v>
      </c>
      <c r="U16" t="str">
        <f t="shared" si="5"/>
        <v>Elevated</v>
      </c>
    </row>
    <row r="17" spans="1:21">
      <c r="A17">
        <v>34</v>
      </c>
      <c r="B17">
        <v>0</v>
      </c>
      <c r="C17">
        <v>1</v>
      </c>
      <c r="D17">
        <v>118</v>
      </c>
      <c r="E17">
        <v>210</v>
      </c>
      <c r="F17">
        <v>0</v>
      </c>
      <c r="G17">
        <v>1</v>
      </c>
      <c r="H17">
        <v>192</v>
      </c>
      <c r="I17">
        <v>0</v>
      </c>
      <c r="J17">
        <v>0.7</v>
      </c>
      <c r="K17">
        <v>2</v>
      </c>
      <c r="L17">
        <v>0</v>
      </c>
      <c r="M17">
        <v>2</v>
      </c>
      <c r="N17">
        <v>1</v>
      </c>
      <c r="O17" t="str">
        <f t="shared" si="0"/>
        <v>Female</v>
      </c>
      <c r="P17" t="str">
        <f t="shared" si="1"/>
        <v>Heart Disease</v>
      </c>
      <c r="Q17" t="str">
        <f t="shared" si="2"/>
        <v>Atypical Angina</v>
      </c>
      <c r="R17" t="str">
        <f t="shared" si="3"/>
        <v>Normal</v>
      </c>
      <c r="S17" t="str">
        <f t="shared" si="4"/>
        <v>No</v>
      </c>
      <c r="T17" t="str" cm="1">
        <f t="array" ref="T17">_xlfn.IFS(A16&lt;30,"18-29",A16&lt;40,"30-39",A16&lt;50,"40-49",A16&lt;60,"50-59",A16&gt;=60,"60+")</f>
        <v>50-59</v>
      </c>
      <c r="U17" t="str">
        <f t="shared" si="5"/>
        <v>Normal</v>
      </c>
    </row>
    <row r="18" spans="1:21">
      <c r="A18">
        <v>51</v>
      </c>
      <c r="B18">
        <v>0</v>
      </c>
      <c r="C18">
        <v>2</v>
      </c>
      <c r="D18">
        <v>140</v>
      </c>
      <c r="E18">
        <v>308</v>
      </c>
      <c r="F18">
        <v>0</v>
      </c>
      <c r="G18">
        <v>0</v>
      </c>
      <c r="H18">
        <v>142</v>
      </c>
      <c r="I18">
        <v>0</v>
      </c>
      <c r="J18">
        <v>1.5</v>
      </c>
      <c r="K18">
        <v>2</v>
      </c>
      <c r="L18">
        <v>1</v>
      </c>
      <c r="M18">
        <v>2</v>
      </c>
      <c r="N18">
        <v>1</v>
      </c>
      <c r="O18" t="str">
        <f t="shared" si="0"/>
        <v>Female</v>
      </c>
      <c r="P18" t="str">
        <f t="shared" si="1"/>
        <v>Heart Disease</v>
      </c>
      <c r="Q18" t="str">
        <f t="shared" si="2"/>
        <v>Non-Anginal Pain</v>
      </c>
      <c r="R18" t="str">
        <f t="shared" si="3"/>
        <v>Normal</v>
      </c>
      <c r="S18" t="str">
        <f t="shared" si="4"/>
        <v>No</v>
      </c>
      <c r="T18" t="str" cm="1">
        <f t="array" ref="T18">_xlfn.IFS(A17&lt;30,"18-29",A17&lt;40,"30-39",A17&lt;50,"40-49",A17&lt;60,"50-59",A17&gt;=60,"60+")</f>
        <v>30-39</v>
      </c>
      <c r="U18" t="str">
        <f t="shared" si="5"/>
        <v>High (Stage 2)</v>
      </c>
    </row>
    <row r="19" spans="1:21">
      <c r="A19">
        <v>54</v>
      </c>
      <c r="B19">
        <v>1</v>
      </c>
      <c r="C19">
        <v>0</v>
      </c>
      <c r="D19">
        <v>124</v>
      </c>
      <c r="E19">
        <v>266</v>
      </c>
      <c r="F19">
        <v>0</v>
      </c>
      <c r="G19">
        <v>0</v>
      </c>
      <c r="H19">
        <v>109</v>
      </c>
      <c r="I19">
        <v>1</v>
      </c>
      <c r="J19">
        <v>2.2000000000000002</v>
      </c>
      <c r="K19">
        <v>1</v>
      </c>
      <c r="L19">
        <v>1</v>
      </c>
      <c r="M19">
        <v>3</v>
      </c>
      <c r="N19">
        <v>0</v>
      </c>
      <c r="O19" t="str">
        <f t="shared" si="0"/>
        <v>Male</v>
      </c>
      <c r="P19" t="str">
        <f t="shared" si="1"/>
        <v>No Disease</v>
      </c>
      <c r="Q19" t="str">
        <f t="shared" si="2"/>
        <v>Typical Angina</v>
      </c>
      <c r="R19" t="str">
        <f t="shared" si="3"/>
        <v>Normal</v>
      </c>
      <c r="S19" t="str">
        <f t="shared" si="4"/>
        <v>Yes</v>
      </c>
      <c r="T19" t="str" cm="1">
        <f t="array" ref="T19">_xlfn.IFS(A18&lt;30,"18-29",A18&lt;40,"30-39",A18&lt;50,"40-49",A18&lt;60,"50-59",A18&gt;=60,"60+")</f>
        <v>50-59</v>
      </c>
      <c r="U19" t="str">
        <f t="shared" si="5"/>
        <v>Elevated</v>
      </c>
    </row>
    <row r="20" spans="1:21">
      <c r="A20">
        <v>50</v>
      </c>
      <c r="B20">
        <v>0</v>
      </c>
      <c r="C20">
        <v>1</v>
      </c>
      <c r="D20">
        <v>120</v>
      </c>
      <c r="E20">
        <v>244</v>
      </c>
      <c r="F20">
        <v>0</v>
      </c>
      <c r="G20">
        <v>1</v>
      </c>
      <c r="H20">
        <v>162</v>
      </c>
      <c r="I20">
        <v>0</v>
      </c>
      <c r="J20">
        <v>1.1000000000000001</v>
      </c>
      <c r="K20">
        <v>2</v>
      </c>
      <c r="L20">
        <v>0</v>
      </c>
      <c r="M20">
        <v>2</v>
      </c>
      <c r="N20">
        <v>1</v>
      </c>
      <c r="O20" t="str">
        <f t="shared" si="0"/>
        <v>Female</v>
      </c>
      <c r="P20" t="str">
        <f t="shared" si="1"/>
        <v>Heart Disease</v>
      </c>
      <c r="Q20" t="str">
        <f t="shared" si="2"/>
        <v>Atypical Angina</v>
      </c>
      <c r="R20" t="str">
        <f t="shared" si="3"/>
        <v>Normal</v>
      </c>
      <c r="S20" t="str">
        <f t="shared" si="4"/>
        <v>No</v>
      </c>
      <c r="T20" t="str" cm="1">
        <f t="array" ref="T20">_xlfn.IFS(A19&lt;30,"18-29",A19&lt;40,"30-39",A19&lt;50,"40-49",A19&lt;60,"50-59",A19&gt;=60,"60+")</f>
        <v>50-59</v>
      </c>
      <c r="U20" t="str">
        <f t="shared" si="5"/>
        <v>Elevated</v>
      </c>
    </row>
    <row r="21" spans="1:21">
      <c r="A21">
        <v>58</v>
      </c>
      <c r="B21">
        <v>1</v>
      </c>
      <c r="C21">
        <v>2</v>
      </c>
      <c r="D21">
        <v>140</v>
      </c>
      <c r="E21">
        <v>211</v>
      </c>
      <c r="F21">
        <v>1</v>
      </c>
      <c r="G21">
        <v>0</v>
      </c>
      <c r="H21">
        <v>165</v>
      </c>
      <c r="I21">
        <v>0</v>
      </c>
      <c r="J21">
        <v>0</v>
      </c>
      <c r="K21">
        <v>2</v>
      </c>
      <c r="L21">
        <v>0</v>
      </c>
      <c r="M21">
        <v>2</v>
      </c>
      <c r="N21">
        <v>1</v>
      </c>
      <c r="O21" t="str">
        <f t="shared" si="0"/>
        <v>Male</v>
      </c>
      <c r="P21" t="str">
        <f t="shared" si="1"/>
        <v>Heart Disease</v>
      </c>
      <c r="Q21" t="str">
        <f t="shared" si="2"/>
        <v>Non-Anginal Pain</v>
      </c>
      <c r="R21" t="str">
        <f t="shared" si="3"/>
        <v>High</v>
      </c>
      <c r="S21" t="str">
        <f t="shared" si="4"/>
        <v>No</v>
      </c>
      <c r="T21" t="str" cm="1">
        <f t="array" ref="T21">_xlfn.IFS(A20&lt;30,"18-29",A20&lt;40,"30-39",A20&lt;50,"40-49",A20&lt;60,"50-59",A20&gt;=60,"60+")</f>
        <v>50-59</v>
      </c>
      <c r="U21" t="str">
        <f t="shared" si="5"/>
        <v>High (Stage 2)</v>
      </c>
    </row>
    <row r="22" spans="1:21">
      <c r="A22">
        <v>60</v>
      </c>
      <c r="B22">
        <v>1</v>
      </c>
      <c r="C22">
        <v>2</v>
      </c>
      <c r="D22">
        <v>140</v>
      </c>
      <c r="E22">
        <v>185</v>
      </c>
      <c r="F22">
        <v>0</v>
      </c>
      <c r="G22">
        <v>0</v>
      </c>
      <c r="H22">
        <v>155</v>
      </c>
      <c r="I22">
        <v>0</v>
      </c>
      <c r="J22">
        <v>3</v>
      </c>
      <c r="K22">
        <v>1</v>
      </c>
      <c r="L22">
        <v>0</v>
      </c>
      <c r="M22">
        <v>2</v>
      </c>
      <c r="N22">
        <v>0</v>
      </c>
      <c r="O22" t="str">
        <f t="shared" si="0"/>
        <v>Male</v>
      </c>
      <c r="P22" t="str">
        <f t="shared" si="1"/>
        <v>No Disease</v>
      </c>
      <c r="Q22" t="str">
        <f t="shared" si="2"/>
        <v>Non-Anginal Pain</v>
      </c>
      <c r="R22" t="str">
        <f t="shared" si="3"/>
        <v>Normal</v>
      </c>
      <c r="S22" t="str">
        <f t="shared" si="4"/>
        <v>No</v>
      </c>
      <c r="T22" t="str" cm="1">
        <f t="array" ref="T22">_xlfn.IFS(A21&lt;30,"18-29",A21&lt;40,"30-39",A21&lt;50,"40-49",A21&lt;60,"50-59",A21&gt;=60,"60+")</f>
        <v>50-59</v>
      </c>
      <c r="U22" t="str">
        <f t="shared" si="5"/>
        <v>High (Stage 2)</v>
      </c>
    </row>
    <row r="23" spans="1:21">
      <c r="A23">
        <v>67</v>
      </c>
      <c r="B23">
        <v>0</v>
      </c>
      <c r="C23">
        <v>0</v>
      </c>
      <c r="D23">
        <v>106</v>
      </c>
      <c r="E23">
        <v>223</v>
      </c>
      <c r="F23">
        <v>0</v>
      </c>
      <c r="G23">
        <v>1</v>
      </c>
      <c r="H23">
        <v>142</v>
      </c>
      <c r="I23">
        <v>0</v>
      </c>
      <c r="J23">
        <v>0.3</v>
      </c>
      <c r="K23">
        <v>2</v>
      </c>
      <c r="L23">
        <v>2</v>
      </c>
      <c r="M23">
        <v>2</v>
      </c>
      <c r="N23">
        <v>1</v>
      </c>
      <c r="O23" t="str">
        <f t="shared" si="0"/>
        <v>Female</v>
      </c>
      <c r="P23" t="str">
        <f t="shared" si="1"/>
        <v>Heart Disease</v>
      </c>
      <c r="Q23" t="str">
        <f t="shared" si="2"/>
        <v>Typical Angina</v>
      </c>
      <c r="R23" t="str">
        <f t="shared" si="3"/>
        <v>Normal</v>
      </c>
      <c r="S23" t="str">
        <f t="shared" si="4"/>
        <v>No</v>
      </c>
      <c r="T23" t="str" cm="1">
        <f t="array" ref="T23">_xlfn.IFS(A22&lt;30,"18-29",A22&lt;40,"30-39",A22&lt;50,"40-49",A22&lt;60,"50-59",A22&gt;=60,"60+")</f>
        <v>60+</v>
      </c>
      <c r="U23" t="str">
        <f t="shared" si="5"/>
        <v>Normal</v>
      </c>
    </row>
    <row r="24" spans="1:21">
      <c r="A24">
        <v>45</v>
      </c>
      <c r="B24">
        <v>1</v>
      </c>
      <c r="C24">
        <v>0</v>
      </c>
      <c r="D24">
        <v>104</v>
      </c>
      <c r="E24">
        <v>208</v>
      </c>
      <c r="F24">
        <v>0</v>
      </c>
      <c r="G24">
        <v>0</v>
      </c>
      <c r="H24">
        <v>148</v>
      </c>
      <c r="I24">
        <v>1</v>
      </c>
      <c r="J24">
        <v>3</v>
      </c>
      <c r="K24">
        <v>1</v>
      </c>
      <c r="L24">
        <v>0</v>
      </c>
      <c r="M24">
        <v>2</v>
      </c>
      <c r="N24">
        <v>1</v>
      </c>
      <c r="O24" t="str">
        <f t="shared" si="0"/>
        <v>Male</v>
      </c>
      <c r="P24" t="str">
        <f t="shared" si="1"/>
        <v>Heart Disease</v>
      </c>
      <c r="Q24" t="str">
        <f t="shared" si="2"/>
        <v>Typical Angina</v>
      </c>
      <c r="R24" t="str">
        <f t="shared" si="3"/>
        <v>Normal</v>
      </c>
      <c r="S24" t="str">
        <f t="shared" si="4"/>
        <v>Yes</v>
      </c>
      <c r="T24" t="str" cm="1">
        <f t="array" ref="T24">_xlfn.IFS(A23&lt;30,"18-29",A23&lt;40,"30-39",A23&lt;50,"40-49",A23&lt;60,"50-59",A23&gt;=60,"60+")</f>
        <v>60+</v>
      </c>
      <c r="U24" t="str">
        <f t="shared" si="5"/>
        <v>Normal</v>
      </c>
    </row>
    <row r="25" spans="1:21">
      <c r="A25">
        <v>63</v>
      </c>
      <c r="B25">
        <v>0</v>
      </c>
      <c r="C25">
        <v>2</v>
      </c>
      <c r="D25">
        <v>135</v>
      </c>
      <c r="E25">
        <v>252</v>
      </c>
      <c r="F25">
        <v>0</v>
      </c>
      <c r="G25">
        <v>0</v>
      </c>
      <c r="H25">
        <v>172</v>
      </c>
      <c r="I25">
        <v>0</v>
      </c>
      <c r="J25">
        <v>0</v>
      </c>
      <c r="K25">
        <v>2</v>
      </c>
      <c r="L25">
        <v>0</v>
      </c>
      <c r="M25">
        <v>2</v>
      </c>
      <c r="N25">
        <v>1</v>
      </c>
      <c r="O25" t="str">
        <f t="shared" si="0"/>
        <v>Female</v>
      </c>
      <c r="P25" t="str">
        <f t="shared" si="1"/>
        <v>Heart Disease</v>
      </c>
      <c r="Q25" t="str">
        <f t="shared" si="2"/>
        <v>Non-Anginal Pain</v>
      </c>
      <c r="R25" t="str">
        <f t="shared" si="3"/>
        <v>Normal</v>
      </c>
      <c r="S25" t="str">
        <f t="shared" si="4"/>
        <v>No</v>
      </c>
      <c r="T25" t="str" cm="1">
        <f t="array" ref="T25">_xlfn.IFS(A24&lt;30,"18-29",A24&lt;40,"30-39",A24&lt;50,"40-49",A24&lt;60,"50-59",A24&gt;=60,"60+")</f>
        <v>40-49</v>
      </c>
      <c r="U25" t="str">
        <f t="shared" si="5"/>
        <v>High (Stage 1)</v>
      </c>
    </row>
    <row r="26" spans="1:21">
      <c r="A26">
        <v>42</v>
      </c>
      <c r="B26">
        <v>0</v>
      </c>
      <c r="C26">
        <v>2</v>
      </c>
      <c r="D26">
        <v>120</v>
      </c>
      <c r="E26">
        <v>209</v>
      </c>
      <c r="F26">
        <v>0</v>
      </c>
      <c r="G26">
        <v>1</v>
      </c>
      <c r="H26">
        <v>173</v>
      </c>
      <c r="I26">
        <v>0</v>
      </c>
      <c r="J26">
        <v>0</v>
      </c>
      <c r="K26">
        <v>1</v>
      </c>
      <c r="L26">
        <v>0</v>
      </c>
      <c r="M26">
        <v>2</v>
      </c>
      <c r="N26">
        <v>1</v>
      </c>
      <c r="O26" t="str">
        <f t="shared" si="0"/>
        <v>Female</v>
      </c>
      <c r="P26" t="str">
        <f t="shared" si="1"/>
        <v>Heart Disease</v>
      </c>
      <c r="Q26" t="str">
        <f t="shared" si="2"/>
        <v>Non-Anginal Pain</v>
      </c>
      <c r="R26" t="str">
        <f t="shared" si="3"/>
        <v>Normal</v>
      </c>
      <c r="S26" t="str">
        <f t="shared" si="4"/>
        <v>No</v>
      </c>
      <c r="T26" t="str" cm="1">
        <f t="array" ref="T26">_xlfn.IFS(A25&lt;30,"18-29",A25&lt;40,"30-39",A25&lt;50,"40-49",A25&lt;60,"50-59",A25&gt;=60,"60+")</f>
        <v>60+</v>
      </c>
      <c r="U26" t="str">
        <f t="shared" si="5"/>
        <v>Elevated</v>
      </c>
    </row>
    <row r="27" spans="1:21">
      <c r="A27">
        <v>61</v>
      </c>
      <c r="B27">
        <v>0</v>
      </c>
      <c r="C27">
        <v>0</v>
      </c>
      <c r="D27">
        <v>145</v>
      </c>
      <c r="E27">
        <v>307</v>
      </c>
      <c r="F27">
        <v>0</v>
      </c>
      <c r="G27">
        <v>0</v>
      </c>
      <c r="H27">
        <v>146</v>
      </c>
      <c r="I27">
        <v>1</v>
      </c>
      <c r="J27">
        <v>1</v>
      </c>
      <c r="K27">
        <v>1</v>
      </c>
      <c r="L27">
        <v>0</v>
      </c>
      <c r="M27">
        <v>3</v>
      </c>
      <c r="N27">
        <v>0</v>
      </c>
      <c r="O27" t="str">
        <f t="shared" si="0"/>
        <v>Female</v>
      </c>
      <c r="P27" t="str">
        <f t="shared" si="1"/>
        <v>No Disease</v>
      </c>
      <c r="Q27" t="str">
        <f t="shared" si="2"/>
        <v>Typical Angina</v>
      </c>
      <c r="R27" t="str">
        <f t="shared" si="3"/>
        <v>Normal</v>
      </c>
      <c r="S27" t="str">
        <f t="shared" si="4"/>
        <v>Yes</v>
      </c>
      <c r="T27" t="str" cm="1">
        <f t="array" ref="T27">_xlfn.IFS(A26&lt;30,"18-29",A26&lt;40,"30-39",A26&lt;50,"40-49",A26&lt;60,"50-59",A26&gt;=60,"60+")</f>
        <v>40-49</v>
      </c>
      <c r="U27" t="str">
        <f t="shared" si="5"/>
        <v>High (Stage 2)</v>
      </c>
    </row>
    <row r="28" spans="1:21">
      <c r="A28">
        <v>44</v>
      </c>
      <c r="B28">
        <v>1</v>
      </c>
      <c r="C28">
        <v>2</v>
      </c>
      <c r="D28">
        <v>130</v>
      </c>
      <c r="E28">
        <v>233</v>
      </c>
      <c r="F28">
        <v>0</v>
      </c>
      <c r="G28">
        <v>1</v>
      </c>
      <c r="H28">
        <v>179</v>
      </c>
      <c r="I28">
        <v>1</v>
      </c>
      <c r="J28">
        <v>0.4</v>
      </c>
      <c r="K28">
        <v>2</v>
      </c>
      <c r="L28">
        <v>0</v>
      </c>
      <c r="M28">
        <v>2</v>
      </c>
      <c r="N28">
        <v>1</v>
      </c>
      <c r="O28" t="str">
        <f t="shared" si="0"/>
        <v>Male</v>
      </c>
      <c r="P28" t="str">
        <f t="shared" si="1"/>
        <v>Heart Disease</v>
      </c>
      <c r="Q28" t="str">
        <f t="shared" si="2"/>
        <v>Non-Anginal Pain</v>
      </c>
      <c r="R28" t="str">
        <f t="shared" si="3"/>
        <v>Normal</v>
      </c>
      <c r="S28" t="str">
        <f t="shared" si="4"/>
        <v>Yes</v>
      </c>
      <c r="T28" t="str" cm="1">
        <f t="array" ref="T28">_xlfn.IFS(A27&lt;30,"18-29",A27&lt;40,"30-39",A27&lt;50,"40-49",A27&lt;60,"50-59",A27&gt;=60,"60+")</f>
        <v>60+</v>
      </c>
      <c r="U28" t="str">
        <f t="shared" si="5"/>
        <v>High (Stage 1)</v>
      </c>
    </row>
    <row r="29" spans="1:21">
      <c r="A29">
        <v>58</v>
      </c>
      <c r="B29">
        <v>0</v>
      </c>
      <c r="C29">
        <v>1</v>
      </c>
      <c r="D29">
        <v>136</v>
      </c>
      <c r="E29">
        <v>319</v>
      </c>
      <c r="F29">
        <v>1</v>
      </c>
      <c r="G29">
        <v>0</v>
      </c>
      <c r="H29">
        <v>152</v>
      </c>
      <c r="I29">
        <v>0</v>
      </c>
      <c r="J29">
        <v>0</v>
      </c>
      <c r="K29">
        <v>2</v>
      </c>
      <c r="L29">
        <v>2</v>
      </c>
      <c r="M29">
        <v>2</v>
      </c>
      <c r="N29">
        <v>0</v>
      </c>
      <c r="O29" t="str">
        <f t="shared" si="0"/>
        <v>Female</v>
      </c>
      <c r="P29" t="str">
        <f t="shared" si="1"/>
        <v>No Disease</v>
      </c>
      <c r="Q29" t="str">
        <f t="shared" si="2"/>
        <v>Atypical Angina</v>
      </c>
      <c r="R29" t="str">
        <f t="shared" si="3"/>
        <v>High</v>
      </c>
      <c r="S29" t="str">
        <f t="shared" si="4"/>
        <v>No</v>
      </c>
      <c r="T29" t="str" cm="1">
        <f t="array" ref="T29">_xlfn.IFS(A28&lt;30,"18-29",A28&lt;40,"30-39",A28&lt;50,"40-49",A28&lt;60,"50-59",A28&gt;=60,"60+")</f>
        <v>40-49</v>
      </c>
      <c r="U29" t="str">
        <f t="shared" si="5"/>
        <v>High (Stage 1)</v>
      </c>
    </row>
    <row r="30" spans="1:21">
      <c r="A30">
        <v>56</v>
      </c>
      <c r="B30">
        <v>1</v>
      </c>
      <c r="C30">
        <v>2</v>
      </c>
      <c r="D30">
        <v>130</v>
      </c>
      <c r="E30">
        <v>256</v>
      </c>
      <c r="F30">
        <v>1</v>
      </c>
      <c r="G30">
        <v>0</v>
      </c>
      <c r="H30">
        <v>142</v>
      </c>
      <c r="I30">
        <v>1</v>
      </c>
      <c r="J30">
        <v>0.6</v>
      </c>
      <c r="K30">
        <v>1</v>
      </c>
      <c r="L30">
        <v>1</v>
      </c>
      <c r="M30">
        <v>1</v>
      </c>
      <c r="N30">
        <v>0</v>
      </c>
      <c r="O30" t="str">
        <f t="shared" si="0"/>
        <v>Male</v>
      </c>
      <c r="P30" t="str">
        <f t="shared" si="1"/>
        <v>No Disease</v>
      </c>
      <c r="Q30" t="str">
        <f t="shared" si="2"/>
        <v>Non-Anginal Pain</v>
      </c>
      <c r="R30" t="str">
        <f t="shared" si="3"/>
        <v>High</v>
      </c>
      <c r="S30" t="str">
        <f t="shared" si="4"/>
        <v>Yes</v>
      </c>
      <c r="T30" t="str" cm="1">
        <f t="array" ref="T30">_xlfn.IFS(A29&lt;30,"18-29",A29&lt;40,"30-39",A29&lt;50,"40-49",A29&lt;60,"50-59",A29&gt;=60,"60+")</f>
        <v>50-59</v>
      </c>
      <c r="U30" t="str">
        <f t="shared" si="5"/>
        <v>High (Stage 1)</v>
      </c>
    </row>
    <row r="31" spans="1:21">
      <c r="A31">
        <v>55</v>
      </c>
      <c r="B31">
        <v>0</v>
      </c>
      <c r="C31">
        <v>0</v>
      </c>
      <c r="D31">
        <v>180</v>
      </c>
      <c r="E31">
        <v>327</v>
      </c>
      <c r="F31">
        <v>0</v>
      </c>
      <c r="G31">
        <v>2</v>
      </c>
      <c r="H31">
        <v>117</v>
      </c>
      <c r="I31">
        <v>1</v>
      </c>
      <c r="J31">
        <v>3.4</v>
      </c>
      <c r="K31">
        <v>1</v>
      </c>
      <c r="L31">
        <v>0</v>
      </c>
      <c r="M31">
        <v>2</v>
      </c>
      <c r="N31">
        <v>0</v>
      </c>
      <c r="O31" t="str">
        <f t="shared" si="0"/>
        <v>Female</v>
      </c>
      <c r="P31" t="str">
        <f t="shared" si="1"/>
        <v>No Disease</v>
      </c>
      <c r="Q31" t="str">
        <f t="shared" si="2"/>
        <v>Typical Angina</v>
      </c>
      <c r="R31" t="str">
        <f t="shared" si="3"/>
        <v>Normal</v>
      </c>
      <c r="S31" t="str">
        <f t="shared" si="4"/>
        <v>Yes</v>
      </c>
      <c r="T31" t="str" cm="1">
        <f t="array" ref="T31">_xlfn.IFS(A30&lt;30,"18-29",A30&lt;40,"30-39",A30&lt;50,"40-49",A30&lt;60,"50-59",A30&gt;=60,"60+")</f>
        <v>50-59</v>
      </c>
      <c r="U31" t="str">
        <f t="shared" si="5"/>
        <v>High (Stage 2)</v>
      </c>
    </row>
    <row r="32" spans="1:21">
      <c r="A32">
        <v>44</v>
      </c>
      <c r="B32">
        <v>1</v>
      </c>
      <c r="C32">
        <v>0</v>
      </c>
      <c r="D32">
        <v>120</v>
      </c>
      <c r="E32">
        <v>169</v>
      </c>
      <c r="F32">
        <v>0</v>
      </c>
      <c r="G32">
        <v>1</v>
      </c>
      <c r="H32">
        <v>144</v>
      </c>
      <c r="I32">
        <v>1</v>
      </c>
      <c r="J32">
        <v>2.8</v>
      </c>
      <c r="K32">
        <v>0</v>
      </c>
      <c r="L32">
        <v>0</v>
      </c>
      <c r="M32">
        <v>1</v>
      </c>
      <c r="N32">
        <v>0</v>
      </c>
      <c r="O32" t="str">
        <f t="shared" si="0"/>
        <v>Male</v>
      </c>
      <c r="P32" t="str">
        <f t="shared" si="1"/>
        <v>No Disease</v>
      </c>
      <c r="Q32" t="str">
        <f t="shared" si="2"/>
        <v>Typical Angina</v>
      </c>
      <c r="R32" t="str">
        <f t="shared" si="3"/>
        <v>Normal</v>
      </c>
      <c r="S32" t="str">
        <f t="shared" si="4"/>
        <v>Yes</v>
      </c>
      <c r="T32" t="str" cm="1">
        <f t="array" ref="T32">_xlfn.IFS(A31&lt;30,"18-29",A31&lt;40,"30-39",A31&lt;50,"40-49",A31&lt;60,"50-59",A31&gt;=60,"60+")</f>
        <v>50-59</v>
      </c>
      <c r="U32" t="str">
        <f t="shared" si="5"/>
        <v>Elevated</v>
      </c>
    </row>
    <row r="33" spans="1:21">
      <c r="A33">
        <v>50</v>
      </c>
      <c r="B33">
        <v>0</v>
      </c>
      <c r="C33">
        <v>1</v>
      </c>
      <c r="D33">
        <v>120</v>
      </c>
      <c r="E33">
        <v>244</v>
      </c>
      <c r="F33">
        <v>0</v>
      </c>
      <c r="G33">
        <v>1</v>
      </c>
      <c r="H33">
        <v>162</v>
      </c>
      <c r="I33">
        <v>0</v>
      </c>
      <c r="J33">
        <v>1.1000000000000001</v>
      </c>
      <c r="K33">
        <v>2</v>
      </c>
      <c r="L33">
        <v>0</v>
      </c>
      <c r="M33">
        <v>2</v>
      </c>
      <c r="N33">
        <v>1</v>
      </c>
      <c r="O33" t="str">
        <f t="shared" si="0"/>
        <v>Female</v>
      </c>
      <c r="P33" t="str">
        <f t="shared" si="1"/>
        <v>Heart Disease</v>
      </c>
      <c r="Q33" t="str">
        <f t="shared" si="2"/>
        <v>Atypical Angina</v>
      </c>
      <c r="R33" t="str">
        <f t="shared" si="3"/>
        <v>Normal</v>
      </c>
      <c r="S33" t="str">
        <f t="shared" si="4"/>
        <v>No</v>
      </c>
      <c r="T33" t="str" cm="1">
        <f t="array" ref="T33">_xlfn.IFS(A32&lt;30,"18-29",A32&lt;40,"30-39",A32&lt;50,"40-49",A32&lt;60,"50-59",A32&gt;=60,"60+")</f>
        <v>40-49</v>
      </c>
      <c r="U33" t="str">
        <f t="shared" si="5"/>
        <v>Elevated</v>
      </c>
    </row>
    <row r="34" spans="1:21">
      <c r="A34">
        <v>57</v>
      </c>
      <c r="B34">
        <v>1</v>
      </c>
      <c r="C34">
        <v>0</v>
      </c>
      <c r="D34">
        <v>130</v>
      </c>
      <c r="E34">
        <v>131</v>
      </c>
      <c r="F34">
        <v>0</v>
      </c>
      <c r="G34">
        <v>1</v>
      </c>
      <c r="H34">
        <v>115</v>
      </c>
      <c r="I34">
        <v>1</v>
      </c>
      <c r="J34">
        <v>1.2</v>
      </c>
      <c r="K34">
        <v>1</v>
      </c>
      <c r="L34">
        <v>1</v>
      </c>
      <c r="M34">
        <v>3</v>
      </c>
      <c r="N34">
        <v>0</v>
      </c>
      <c r="O34" t="str">
        <f t="shared" si="0"/>
        <v>Male</v>
      </c>
      <c r="P34" t="str">
        <f t="shared" si="1"/>
        <v>No Disease</v>
      </c>
      <c r="Q34" t="str">
        <f t="shared" si="2"/>
        <v>Typical Angina</v>
      </c>
      <c r="R34" t="str">
        <f t="shared" si="3"/>
        <v>Normal</v>
      </c>
      <c r="S34" t="str">
        <f t="shared" si="4"/>
        <v>Yes</v>
      </c>
      <c r="T34" t="str" cm="1">
        <f t="array" ref="T34">_xlfn.IFS(A33&lt;30,"18-29",A33&lt;40,"30-39",A33&lt;50,"40-49",A33&lt;60,"50-59",A33&gt;=60,"60+")</f>
        <v>50-59</v>
      </c>
      <c r="U34" t="str">
        <f t="shared" si="5"/>
        <v>High (Stage 1)</v>
      </c>
    </row>
    <row r="35" spans="1:21">
      <c r="A35">
        <v>70</v>
      </c>
      <c r="B35">
        <v>1</v>
      </c>
      <c r="C35">
        <v>2</v>
      </c>
      <c r="D35">
        <v>160</v>
      </c>
      <c r="E35">
        <v>269</v>
      </c>
      <c r="F35">
        <v>0</v>
      </c>
      <c r="G35">
        <v>1</v>
      </c>
      <c r="H35">
        <v>112</v>
      </c>
      <c r="I35">
        <v>1</v>
      </c>
      <c r="J35">
        <v>2.9</v>
      </c>
      <c r="K35">
        <v>1</v>
      </c>
      <c r="L35">
        <v>1</v>
      </c>
      <c r="M35">
        <v>3</v>
      </c>
      <c r="N35">
        <v>0</v>
      </c>
      <c r="O35" t="str">
        <f t="shared" si="0"/>
        <v>Male</v>
      </c>
      <c r="P35" t="str">
        <f t="shared" si="1"/>
        <v>No Disease</v>
      </c>
      <c r="Q35" t="str">
        <f t="shared" si="2"/>
        <v>Non-Anginal Pain</v>
      </c>
      <c r="R35" t="str">
        <f t="shared" si="3"/>
        <v>Normal</v>
      </c>
      <c r="S35" t="str">
        <f t="shared" si="4"/>
        <v>Yes</v>
      </c>
      <c r="T35" t="str" cm="1">
        <f t="array" ref="T35">_xlfn.IFS(A34&lt;30,"18-29",A34&lt;40,"30-39",A34&lt;50,"40-49",A34&lt;60,"50-59",A34&gt;=60,"60+")</f>
        <v>50-59</v>
      </c>
      <c r="U35" t="str">
        <f t="shared" si="5"/>
        <v>High (Stage 2)</v>
      </c>
    </row>
    <row r="36" spans="1:21">
      <c r="A36">
        <v>50</v>
      </c>
      <c r="B36">
        <v>1</v>
      </c>
      <c r="C36">
        <v>2</v>
      </c>
      <c r="D36">
        <v>129</v>
      </c>
      <c r="E36">
        <v>196</v>
      </c>
      <c r="F36">
        <v>0</v>
      </c>
      <c r="G36">
        <v>1</v>
      </c>
      <c r="H36">
        <v>163</v>
      </c>
      <c r="I36">
        <v>0</v>
      </c>
      <c r="J36">
        <v>0</v>
      </c>
      <c r="K36">
        <v>2</v>
      </c>
      <c r="L36">
        <v>0</v>
      </c>
      <c r="M36">
        <v>2</v>
      </c>
      <c r="N36">
        <v>1</v>
      </c>
      <c r="O36" t="str">
        <f t="shared" si="0"/>
        <v>Male</v>
      </c>
      <c r="P36" t="str">
        <f t="shared" si="1"/>
        <v>Heart Disease</v>
      </c>
      <c r="Q36" t="str">
        <f t="shared" si="2"/>
        <v>Non-Anginal Pain</v>
      </c>
      <c r="R36" t="str">
        <f t="shared" si="3"/>
        <v>Normal</v>
      </c>
      <c r="S36" t="str">
        <f t="shared" si="4"/>
        <v>No</v>
      </c>
      <c r="T36" t="str" cm="1">
        <f t="array" ref="T36">_xlfn.IFS(A35&lt;30,"18-29",A35&lt;40,"30-39",A35&lt;50,"40-49",A35&lt;60,"50-59",A35&gt;=60,"60+")</f>
        <v>60+</v>
      </c>
      <c r="U36" t="str">
        <f t="shared" si="5"/>
        <v>Elevated</v>
      </c>
    </row>
    <row r="37" spans="1:21">
      <c r="A37">
        <v>46</v>
      </c>
      <c r="B37">
        <v>1</v>
      </c>
      <c r="C37">
        <v>2</v>
      </c>
      <c r="D37">
        <v>150</v>
      </c>
      <c r="E37">
        <v>231</v>
      </c>
      <c r="F37">
        <v>0</v>
      </c>
      <c r="G37">
        <v>1</v>
      </c>
      <c r="H37">
        <v>147</v>
      </c>
      <c r="I37">
        <v>0</v>
      </c>
      <c r="J37">
        <v>3.6</v>
      </c>
      <c r="K37">
        <v>1</v>
      </c>
      <c r="L37">
        <v>0</v>
      </c>
      <c r="M37">
        <v>2</v>
      </c>
      <c r="N37">
        <v>0</v>
      </c>
      <c r="O37" t="str">
        <f t="shared" si="0"/>
        <v>Male</v>
      </c>
      <c r="P37" t="str">
        <f t="shared" si="1"/>
        <v>No Disease</v>
      </c>
      <c r="Q37" t="str">
        <f t="shared" si="2"/>
        <v>Non-Anginal Pain</v>
      </c>
      <c r="R37" t="str">
        <f t="shared" si="3"/>
        <v>Normal</v>
      </c>
      <c r="S37" t="str">
        <f t="shared" si="4"/>
        <v>No</v>
      </c>
      <c r="T37" t="str" cm="1">
        <f t="array" ref="T37">_xlfn.IFS(A36&lt;30,"18-29",A36&lt;40,"30-39",A36&lt;50,"40-49",A36&lt;60,"50-59",A36&gt;=60,"60+")</f>
        <v>50-59</v>
      </c>
      <c r="U37" t="str">
        <f t="shared" si="5"/>
        <v>High (Stage 2)</v>
      </c>
    </row>
    <row r="38" spans="1:21">
      <c r="A38">
        <v>51</v>
      </c>
      <c r="B38">
        <v>1</v>
      </c>
      <c r="C38">
        <v>3</v>
      </c>
      <c r="D38">
        <v>125</v>
      </c>
      <c r="E38">
        <v>213</v>
      </c>
      <c r="F38">
        <v>0</v>
      </c>
      <c r="G38">
        <v>0</v>
      </c>
      <c r="H38">
        <v>125</v>
      </c>
      <c r="I38">
        <v>1</v>
      </c>
      <c r="J38">
        <v>1.4</v>
      </c>
      <c r="K38">
        <v>2</v>
      </c>
      <c r="L38">
        <v>1</v>
      </c>
      <c r="M38">
        <v>2</v>
      </c>
      <c r="N38">
        <v>1</v>
      </c>
      <c r="O38" t="str">
        <f t="shared" si="0"/>
        <v>Male</v>
      </c>
      <c r="P38" t="str">
        <f t="shared" si="1"/>
        <v>Heart Disease</v>
      </c>
      <c r="Q38" t="str">
        <f t="shared" si="2"/>
        <v>Asymptomatic</v>
      </c>
      <c r="R38" t="str">
        <f t="shared" si="3"/>
        <v>Normal</v>
      </c>
      <c r="S38" t="str">
        <f t="shared" si="4"/>
        <v>Yes</v>
      </c>
      <c r="T38" t="str" cm="1">
        <f t="array" ref="T38">_xlfn.IFS(A37&lt;30,"18-29",A37&lt;40,"30-39",A37&lt;50,"40-49",A37&lt;60,"50-59",A37&gt;=60,"60+")</f>
        <v>40-49</v>
      </c>
      <c r="U38" t="str">
        <f t="shared" si="5"/>
        <v>Elevated</v>
      </c>
    </row>
    <row r="39" spans="1:21">
      <c r="A39">
        <v>59</v>
      </c>
      <c r="B39">
        <v>1</v>
      </c>
      <c r="C39">
        <v>0</v>
      </c>
      <c r="D39">
        <v>138</v>
      </c>
      <c r="E39">
        <v>271</v>
      </c>
      <c r="F39">
        <v>0</v>
      </c>
      <c r="G39">
        <v>0</v>
      </c>
      <c r="H39">
        <v>182</v>
      </c>
      <c r="I39">
        <v>0</v>
      </c>
      <c r="J39">
        <v>0</v>
      </c>
      <c r="K39">
        <v>2</v>
      </c>
      <c r="L39">
        <v>0</v>
      </c>
      <c r="M39">
        <v>2</v>
      </c>
      <c r="N39">
        <v>1</v>
      </c>
      <c r="O39" t="str">
        <f t="shared" si="0"/>
        <v>Male</v>
      </c>
      <c r="P39" t="str">
        <f t="shared" si="1"/>
        <v>Heart Disease</v>
      </c>
      <c r="Q39" t="str">
        <f t="shared" si="2"/>
        <v>Typical Angina</v>
      </c>
      <c r="R39" t="str">
        <f t="shared" si="3"/>
        <v>Normal</v>
      </c>
      <c r="S39" t="str">
        <f t="shared" si="4"/>
        <v>No</v>
      </c>
      <c r="T39" t="str" cm="1">
        <f t="array" ref="T39">_xlfn.IFS(A38&lt;30,"18-29",A38&lt;40,"30-39",A38&lt;50,"40-49",A38&lt;60,"50-59",A38&gt;=60,"60+")</f>
        <v>50-59</v>
      </c>
      <c r="U39" t="str">
        <f t="shared" si="5"/>
        <v>High (Stage 1)</v>
      </c>
    </row>
    <row r="40" spans="1:21">
      <c r="A40">
        <v>64</v>
      </c>
      <c r="B40">
        <v>1</v>
      </c>
      <c r="C40">
        <v>0</v>
      </c>
      <c r="D40">
        <v>128</v>
      </c>
      <c r="E40">
        <v>263</v>
      </c>
      <c r="F40">
        <v>0</v>
      </c>
      <c r="G40">
        <v>1</v>
      </c>
      <c r="H40">
        <v>105</v>
      </c>
      <c r="I40">
        <v>1</v>
      </c>
      <c r="J40">
        <v>0.2</v>
      </c>
      <c r="K40">
        <v>1</v>
      </c>
      <c r="L40">
        <v>1</v>
      </c>
      <c r="M40">
        <v>3</v>
      </c>
      <c r="N40">
        <v>1</v>
      </c>
      <c r="O40" t="str">
        <f t="shared" si="0"/>
        <v>Male</v>
      </c>
      <c r="P40" t="str">
        <f t="shared" si="1"/>
        <v>Heart Disease</v>
      </c>
      <c r="Q40" t="str">
        <f t="shared" si="2"/>
        <v>Typical Angina</v>
      </c>
      <c r="R40" t="str">
        <f t="shared" si="3"/>
        <v>Normal</v>
      </c>
      <c r="S40" t="str">
        <f t="shared" si="4"/>
        <v>Yes</v>
      </c>
      <c r="T40" t="str" cm="1">
        <f t="array" ref="T40">_xlfn.IFS(A39&lt;30,"18-29",A39&lt;40,"30-39",A39&lt;50,"40-49",A39&lt;60,"50-59",A39&gt;=60,"60+")</f>
        <v>50-59</v>
      </c>
      <c r="U40" t="str">
        <f t="shared" si="5"/>
        <v>Elevated</v>
      </c>
    </row>
    <row r="41" spans="1:21">
      <c r="A41">
        <v>57</v>
      </c>
      <c r="B41">
        <v>1</v>
      </c>
      <c r="C41">
        <v>2</v>
      </c>
      <c r="D41">
        <v>128</v>
      </c>
      <c r="E41">
        <v>229</v>
      </c>
      <c r="F41">
        <v>0</v>
      </c>
      <c r="G41">
        <v>0</v>
      </c>
      <c r="H41">
        <v>150</v>
      </c>
      <c r="I41">
        <v>0</v>
      </c>
      <c r="J41">
        <v>0.4</v>
      </c>
      <c r="K41">
        <v>1</v>
      </c>
      <c r="L41">
        <v>1</v>
      </c>
      <c r="M41">
        <v>3</v>
      </c>
      <c r="N41">
        <v>0</v>
      </c>
      <c r="O41" t="str">
        <f t="shared" si="0"/>
        <v>Male</v>
      </c>
      <c r="P41" t="str">
        <f t="shared" si="1"/>
        <v>No Disease</v>
      </c>
      <c r="Q41" t="str">
        <f t="shared" si="2"/>
        <v>Non-Anginal Pain</v>
      </c>
      <c r="R41" t="str">
        <f t="shared" si="3"/>
        <v>Normal</v>
      </c>
      <c r="S41" t="str">
        <f t="shared" si="4"/>
        <v>No</v>
      </c>
      <c r="T41" t="str" cm="1">
        <f t="array" ref="T41">_xlfn.IFS(A40&lt;30,"18-29",A40&lt;40,"30-39",A40&lt;50,"40-49",A40&lt;60,"50-59",A40&gt;=60,"60+")</f>
        <v>60+</v>
      </c>
      <c r="U41" t="str">
        <f t="shared" si="5"/>
        <v>Elevated</v>
      </c>
    </row>
    <row r="42" spans="1:21">
      <c r="A42">
        <v>65</v>
      </c>
      <c r="B42">
        <v>0</v>
      </c>
      <c r="C42">
        <v>2</v>
      </c>
      <c r="D42">
        <v>160</v>
      </c>
      <c r="E42">
        <v>360</v>
      </c>
      <c r="F42">
        <v>0</v>
      </c>
      <c r="G42">
        <v>0</v>
      </c>
      <c r="H42">
        <v>151</v>
      </c>
      <c r="I42">
        <v>0</v>
      </c>
      <c r="J42">
        <v>0.8</v>
      </c>
      <c r="K42">
        <v>2</v>
      </c>
      <c r="L42">
        <v>0</v>
      </c>
      <c r="M42">
        <v>2</v>
      </c>
      <c r="N42">
        <v>1</v>
      </c>
      <c r="O42" t="str">
        <f t="shared" si="0"/>
        <v>Female</v>
      </c>
      <c r="P42" t="str">
        <f t="shared" si="1"/>
        <v>Heart Disease</v>
      </c>
      <c r="Q42" t="str">
        <f t="shared" si="2"/>
        <v>Non-Anginal Pain</v>
      </c>
      <c r="R42" t="str">
        <f t="shared" si="3"/>
        <v>Normal</v>
      </c>
      <c r="S42" t="str">
        <f t="shared" si="4"/>
        <v>No</v>
      </c>
      <c r="T42" t="str" cm="1">
        <f t="array" ref="T42">_xlfn.IFS(A41&lt;30,"18-29",A41&lt;40,"30-39",A41&lt;50,"40-49",A41&lt;60,"50-59",A41&gt;=60,"60+")</f>
        <v>50-59</v>
      </c>
      <c r="U42" t="str">
        <f t="shared" si="5"/>
        <v>High (Stage 2)</v>
      </c>
    </row>
    <row r="43" spans="1:21">
      <c r="A43">
        <v>54</v>
      </c>
      <c r="B43">
        <v>1</v>
      </c>
      <c r="C43">
        <v>2</v>
      </c>
      <c r="D43">
        <v>120</v>
      </c>
      <c r="E43">
        <v>258</v>
      </c>
      <c r="F43">
        <v>0</v>
      </c>
      <c r="G43">
        <v>0</v>
      </c>
      <c r="H43">
        <v>147</v>
      </c>
      <c r="I43">
        <v>0</v>
      </c>
      <c r="J43">
        <v>0.4</v>
      </c>
      <c r="K43">
        <v>1</v>
      </c>
      <c r="L43">
        <v>0</v>
      </c>
      <c r="M43">
        <v>3</v>
      </c>
      <c r="N43">
        <v>1</v>
      </c>
      <c r="O43" t="str">
        <f t="shared" si="0"/>
        <v>Male</v>
      </c>
      <c r="P43" t="str">
        <f t="shared" si="1"/>
        <v>Heart Disease</v>
      </c>
      <c r="Q43" t="str">
        <f t="shared" si="2"/>
        <v>Non-Anginal Pain</v>
      </c>
      <c r="R43" t="str">
        <f t="shared" si="3"/>
        <v>Normal</v>
      </c>
      <c r="S43" t="str">
        <f t="shared" si="4"/>
        <v>No</v>
      </c>
      <c r="T43" t="str" cm="1">
        <f t="array" ref="T43">_xlfn.IFS(A42&lt;30,"18-29",A42&lt;40,"30-39",A42&lt;50,"40-49",A42&lt;60,"50-59",A42&gt;=60,"60+")</f>
        <v>60+</v>
      </c>
      <c r="U43" t="str">
        <f t="shared" si="5"/>
        <v>Elevated</v>
      </c>
    </row>
    <row r="44" spans="1:21">
      <c r="A44">
        <v>61</v>
      </c>
      <c r="B44">
        <v>0</v>
      </c>
      <c r="C44">
        <v>0</v>
      </c>
      <c r="D44">
        <v>130</v>
      </c>
      <c r="E44">
        <v>330</v>
      </c>
      <c r="F44">
        <v>0</v>
      </c>
      <c r="G44">
        <v>0</v>
      </c>
      <c r="H44">
        <v>169</v>
      </c>
      <c r="I44">
        <v>0</v>
      </c>
      <c r="J44">
        <v>0</v>
      </c>
      <c r="K44">
        <v>2</v>
      </c>
      <c r="L44">
        <v>0</v>
      </c>
      <c r="M44">
        <v>2</v>
      </c>
      <c r="N44">
        <v>0</v>
      </c>
      <c r="O44" t="str">
        <f t="shared" si="0"/>
        <v>Female</v>
      </c>
      <c r="P44" t="str">
        <f t="shared" si="1"/>
        <v>No Disease</v>
      </c>
      <c r="Q44" t="str">
        <f t="shared" si="2"/>
        <v>Typical Angina</v>
      </c>
      <c r="R44" t="str">
        <f t="shared" si="3"/>
        <v>Normal</v>
      </c>
      <c r="S44" t="str">
        <f t="shared" si="4"/>
        <v>No</v>
      </c>
      <c r="T44" t="str" cm="1">
        <f t="array" ref="T44">_xlfn.IFS(A43&lt;30,"18-29",A43&lt;40,"30-39",A43&lt;50,"40-49",A43&lt;60,"50-59",A43&gt;=60,"60+")</f>
        <v>50-59</v>
      </c>
      <c r="U44" t="str">
        <f t="shared" si="5"/>
        <v>High (Stage 1)</v>
      </c>
    </row>
    <row r="45" spans="1:21">
      <c r="A45">
        <v>46</v>
      </c>
      <c r="B45">
        <v>1</v>
      </c>
      <c r="C45">
        <v>0</v>
      </c>
      <c r="D45">
        <v>120</v>
      </c>
      <c r="E45">
        <v>249</v>
      </c>
      <c r="F45">
        <v>0</v>
      </c>
      <c r="G45">
        <v>0</v>
      </c>
      <c r="H45">
        <v>144</v>
      </c>
      <c r="I45">
        <v>0</v>
      </c>
      <c r="J45">
        <v>0.8</v>
      </c>
      <c r="K45">
        <v>2</v>
      </c>
      <c r="L45">
        <v>0</v>
      </c>
      <c r="M45">
        <v>3</v>
      </c>
      <c r="N45">
        <v>0</v>
      </c>
      <c r="O45" t="str">
        <f t="shared" si="0"/>
        <v>Male</v>
      </c>
      <c r="P45" t="str">
        <f t="shared" si="1"/>
        <v>No Disease</v>
      </c>
      <c r="Q45" t="str">
        <f t="shared" si="2"/>
        <v>Typical Angina</v>
      </c>
      <c r="R45" t="str">
        <f t="shared" si="3"/>
        <v>Normal</v>
      </c>
      <c r="S45" t="str">
        <f t="shared" si="4"/>
        <v>No</v>
      </c>
      <c r="T45" t="str" cm="1">
        <f t="array" ref="T45">_xlfn.IFS(A44&lt;30,"18-29",A44&lt;40,"30-39",A44&lt;50,"40-49",A44&lt;60,"50-59",A44&gt;=60,"60+")</f>
        <v>60+</v>
      </c>
      <c r="U45" t="str">
        <f t="shared" si="5"/>
        <v>Elevated</v>
      </c>
    </row>
    <row r="46" spans="1:21">
      <c r="A46">
        <v>55</v>
      </c>
      <c r="B46">
        <v>0</v>
      </c>
      <c r="C46">
        <v>1</v>
      </c>
      <c r="D46">
        <v>132</v>
      </c>
      <c r="E46">
        <v>342</v>
      </c>
      <c r="F46">
        <v>0</v>
      </c>
      <c r="G46">
        <v>1</v>
      </c>
      <c r="H46">
        <v>166</v>
      </c>
      <c r="I46">
        <v>0</v>
      </c>
      <c r="J46">
        <v>1.2</v>
      </c>
      <c r="K46">
        <v>2</v>
      </c>
      <c r="L46">
        <v>0</v>
      </c>
      <c r="M46">
        <v>2</v>
      </c>
      <c r="N46">
        <v>1</v>
      </c>
      <c r="O46" t="str">
        <f t="shared" si="0"/>
        <v>Female</v>
      </c>
      <c r="P46" t="str">
        <f t="shared" si="1"/>
        <v>Heart Disease</v>
      </c>
      <c r="Q46" t="str">
        <f t="shared" si="2"/>
        <v>Atypical Angina</v>
      </c>
      <c r="R46" t="str">
        <f t="shared" si="3"/>
        <v>Normal</v>
      </c>
      <c r="S46" t="str">
        <f t="shared" si="4"/>
        <v>No</v>
      </c>
      <c r="T46" t="str" cm="1">
        <f t="array" ref="T46">_xlfn.IFS(A45&lt;30,"18-29",A45&lt;40,"30-39",A45&lt;50,"40-49",A45&lt;60,"50-59",A45&gt;=60,"60+")</f>
        <v>40-49</v>
      </c>
      <c r="U46" t="str">
        <f t="shared" si="5"/>
        <v>High (Stage 1)</v>
      </c>
    </row>
    <row r="47" spans="1:21">
      <c r="A47">
        <v>42</v>
      </c>
      <c r="B47">
        <v>1</v>
      </c>
      <c r="C47">
        <v>0</v>
      </c>
      <c r="D47">
        <v>140</v>
      </c>
      <c r="E47">
        <v>226</v>
      </c>
      <c r="F47">
        <v>0</v>
      </c>
      <c r="G47">
        <v>1</v>
      </c>
      <c r="H47">
        <v>178</v>
      </c>
      <c r="I47">
        <v>0</v>
      </c>
      <c r="J47">
        <v>0</v>
      </c>
      <c r="K47">
        <v>2</v>
      </c>
      <c r="L47">
        <v>0</v>
      </c>
      <c r="M47">
        <v>2</v>
      </c>
      <c r="N47">
        <v>1</v>
      </c>
      <c r="O47" t="str">
        <f t="shared" si="0"/>
        <v>Male</v>
      </c>
      <c r="P47" t="str">
        <f t="shared" si="1"/>
        <v>Heart Disease</v>
      </c>
      <c r="Q47" t="str">
        <f t="shared" si="2"/>
        <v>Typical Angina</v>
      </c>
      <c r="R47" t="str">
        <f t="shared" si="3"/>
        <v>Normal</v>
      </c>
      <c r="S47" t="str">
        <f t="shared" si="4"/>
        <v>No</v>
      </c>
      <c r="T47" t="str" cm="1">
        <f t="array" ref="T47">_xlfn.IFS(A46&lt;30,"18-29",A46&lt;40,"30-39",A46&lt;50,"40-49",A46&lt;60,"50-59",A46&gt;=60,"60+")</f>
        <v>50-59</v>
      </c>
      <c r="U47" t="str">
        <f t="shared" si="5"/>
        <v>High (Stage 2)</v>
      </c>
    </row>
    <row r="48" spans="1:21">
      <c r="A48">
        <v>41</v>
      </c>
      <c r="B48">
        <v>1</v>
      </c>
      <c r="C48">
        <v>1</v>
      </c>
      <c r="D48">
        <v>135</v>
      </c>
      <c r="E48">
        <v>203</v>
      </c>
      <c r="F48">
        <v>0</v>
      </c>
      <c r="G48">
        <v>1</v>
      </c>
      <c r="H48">
        <v>132</v>
      </c>
      <c r="I48">
        <v>0</v>
      </c>
      <c r="J48">
        <v>0</v>
      </c>
      <c r="K48">
        <v>1</v>
      </c>
      <c r="L48">
        <v>0</v>
      </c>
      <c r="M48">
        <v>1</v>
      </c>
      <c r="N48">
        <v>1</v>
      </c>
      <c r="O48" t="str">
        <f t="shared" si="0"/>
        <v>Male</v>
      </c>
      <c r="P48" t="str">
        <f t="shared" si="1"/>
        <v>Heart Disease</v>
      </c>
      <c r="Q48" t="str">
        <f t="shared" si="2"/>
        <v>Atypical Angina</v>
      </c>
      <c r="R48" t="str">
        <f t="shared" si="3"/>
        <v>Normal</v>
      </c>
      <c r="S48" t="str">
        <f t="shared" si="4"/>
        <v>No</v>
      </c>
      <c r="T48" t="str" cm="1">
        <f t="array" ref="T48">_xlfn.IFS(A47&lt;30,"18-29",A47&lt;40,"30-39",A47&lt;50,"40-49",A47&lt;60,"50-59",A47&gt;=60,"60+")</f>
        <v>40-49</v>
      </c>
      <c r="U48" t="str">
        <f t="shared" si="5"/>
        <v>High (Stage 1)</v>
      </c>
    </row>
    <row r="49" spans="1:21">
      <c r="A49">
        <v>66</v>
      </c>
      <c r="B49">
        <v>0</v>
      </c>
      <c r="C49">
        <v>0</v>
      </c>
      <c r="D49">
        <v>178</v>
      </c>
      <c r="E49">
        <v>228</v>
      </c>
      <c r="F49">
        <v>1</v>
      </c>
      <c r="G49">
        <v>1</v>
      </c>
      <c r="H49">
        <v>165</v>
      </c>
      <c r="I49">
        <v>1</v>
      </c>
      <c r="J49">
        <v>1</v>
      </c>
      <c r="K49">
        <v>1</v>
      </c>
      <c r="L49">
        <v>2</v>
      </c>
      <c r="M49">
        <v>3</v>
      </c>
      <c r="N49">
        <v>0</v>
      </c>
      <c r="O49" t="str">
        <f t="shared" si="0"/>
        <v>Female</v>
      </c>
      <c r="P49" t="str">
        <f t="shared" si="1"/>
        <v>No Disease</v>
      </c>
      <c r="Q49" t="str">
        <f t="shared" si="2"/>
        <v>Typical Angina</v>
      </c>
      <c r="R49" t="str">
        <f t="shared" si="3"/>
        <v>High</v>
      </c>
      <c r="S49" t="str">
        <f t="shared" si="4"/>
        <v>Yes</v>
      </c>
      <c r="T49" t="str" cm="1">
        <f t="array" ref="T49">_xlfn.IFS(A48&lt;30,"18-29",A48&lt;40,"30-39",A48&lt;50,"40-49",A48&lt;60,"50-59",A48&gt;=60,"60+")</f>
        <v>40-49</v>
      </c>
      <c r="U49" t="str">
        <f t="shared" si="5"/>
        <v>High (Stage 2)</v>
      </c>
    </row>
    <row r="50" spans="1:21">
      <c r="A50">
        <v>66</v>
      </c>
      <c r="B50">
        <v>0</v>
      </c>
      <c r="C50">
        <v>2</v>
      </c>
      <c r="D50">
        <v>146</v>
      </c>
      <c r="E50">
        <v>278</v>
      </c>
      <c r="F50">
        <v>0</v>
      </c>
      <c r="G50">
        <v>0</v>
      </c>
      <c r="H50">
        <v>152</v>
      </c>
      <c r="I50">
        <v>0</v>
      </c>
      <c r="J50">
        <v>0</v>
      </c>
      <c r="K50">
        <v>1</v>
      </c>
      <c r="L50">
        <v>1</v>
      </c>
      <c r="M50">
        <v>2</v>
      </c>
      <c r="N50">
        <v>1</v>
      </c>
      <c r="O50" t="str">
        <f t="shared" si="0"/>
        <v>Female</v>
      </c>
      <c r="P50" t="str">
        <f t="shared" si="1"/>
        <v>Heart Disease</v>
      </c>
      <c r="Q50" t="str">
        <f t="shared" si="2"/>
        <v>Non-Anginal Pain</v>
      </c>
      <c r="R50" t="str">
        <f t="shared" si="3"/>
        <v>Normal</v>
      </c>
      <c r="S50" t="str">
        <f t="shared" si="4"/>
        <v>No</v>
      </c>
      <c r="T50" t="str" cm="1">
        <f t="array" ref="T50">_xlfn.IFS(A49&lt;30,"18-29",A49&lt;40,"30-39",A49&lt;50,"40-49",A49&lt;60,"50-59",A49&gt;=60,"60+")</f>
        <v>60+</v>
      </c>
      <c r="U50" t="str">
        <f t="shared" si="5"/>
        <v>High (Stage 2)</v>
      </c>
    </row>
    <row r="51" spans="1:21">
      <c r="A51">
        <v>60</v>
      </c>
      <c r="B51">
        <v>1</v>
      </c>
      <c r="C51">
        <v>0</v>
      </c>
      <c r="D51">
        <v>117</v>
      </c>
      <c r="E51">
        <v>230</v>
      </c>
      <c r="F51">
        <v>1</v>
      </c>
      <c r="G51">
        <v>1</v>
      </c>
      <c r="H51">
        <v>160</v>
      </c>
      <c r="I51">
        <v>1</v>
      </c>
      <c r="J51">
        <v>1.4</v>
      </c>
      <c r="K51">
        <v>2</v>
      </c>
      <c r="L51">
        <v>2</v>
      </c>
      <c r="M51">
        <v>3</v>
      </c>
      <c r="N51">
        <v>0</v>
      </c>
      <c r="O51" t="str">
        <f t="shared" si="0"/>
        <v>Male</v>
      </c>
      <c r="P51" t="str">
        <f t="shared" si="1"/>
        <v>No Disease</v>
      </c>
      <c r="Q51" t="str">
        <f t="shared" si="2"/>
        <v>Typical Angina</v>
      </c>
      <c r="R51" t="str">
        <f t="shared" si="3"/>
        <v>High</v>
      </c>
      <c r="S51" t="str">
        <f t="shared" si="4"/>
        <v>Yes</v>
      </c>
      <c r="T51" t="str" cm="1">
        <f t="array" ref="T51">_xlfn.IFS(A50&lt;30,"18-29",A50&lt;40,"30-39",A50&lt;50,"40-49",A50&lt;60,"50-59",A50&gt;=60,"60+")</f>
        <v>60+</v>
      </c>
      <c r="U51" t="str">
        <f t="shared" si="5"/>
        <v>Normal</v>
      </c>
    </row>
    <row r="52" spans="1:21">
      <c r="A52">
        <v>58</v>
      </c>
      <c r="B52">
        <v>0</v>
      </c>
      <c r="C52">
        <v>3</v>
      </c>
      <c r="D52">
        <v>150</v>
      </c>
      <c r="E52">
        <v>283</v>
      </c>
      <c r="F52">
        <v>1</v>
      </c>
      <c r="G52">
        <v>0</v>
      </c>
      <c r="H52">
        <v>162</v>
      </c>
      <c r="I52">
        <v>0</v>
      </c>
      <c r="J52">
        <v>1</v>
      </c>
      <c r="K52">
        <v>2</v>
      </c>
      <c r="L52">
        <v>0</v>
      </c>
      <c r="M52">
        <v>2</v>
      </c>
      <c r="N52">
        <v>1</v>
      </c>
      <c r="O52" t="str">
        <f t="shared" si="0"/>
        <v>Female</v>
      </c>
      <c r="P52" t="str">
        <f t="shared" si="1"/>
        <v>Heart Disease</v>
      </c>
      <c r="Q52" t="str">
        <f t="shared" si="2"/>
        <v>Asymptomatic</v>
      </c>
      <c r="R52" t="str">
        <f t="shared" si="3"/>
        <v>High</v>
      </c>
      <c r="S52" t="str">
        <f t="shared" si="4"/>
        <v>No</v>
      </c>
      <c r="T52" t="str" cm="1">
        <f t="array" ref="T52">_xlfn.IFS(A51&lt;30,"18-29",A51&lt;40,"30-39",A51&lt;50,"40-49",A51&lt;60,"50-59",A51&gt;=60,"60+")</f>
        <v>60+</v>
      </c>
      <c r="U52" t="str">
        <f t="shared" si="5"/>
        <v>High (Stage 2)</v>
      </c>
    </row>
    <row r="53" spans="1:21">
      <c r="A53">
        <v>57</v>
      </c>
      <c r="B53">
        <v>0</v>
      </c>
      <c r="C53">
        <v>0</v>
      </c>
      <c r="D53">
        <v>140</v>
      </c>
      <c r="E53">
        <v>241</v>
      </c>
      <c r="F53">
        <v>0</v>
      </c>
      <c r="G53">
        <v>1</v>
      </c>
      <c r="H53">
        <v>123</v>
      </c>
      <c r="I53">
        <v>1</v>
      </c>
      <c r="J53">
        <v>0.2</v>
      </c>
      <c r="K53">
        <v>1</v>
      </c>
      <c r="L53">
        <v>0</v>
      </c>
      <c r="M53">
        <v>3</v>
      </c>
      <c r="N53">
        <v>0</v>
      </c>
      <c r="O53" t="str">
        <f t="shared" si="0"/>
        <v>Female</v>
      </c>
      <c r="P53" t="str">
        <f t="shared" si="1"/>
        <v>No Disease</v>
      </c>
      <c r="Q53" t="str">
        <f t="shared" si="2"/>
        <v>Typical Angina</v>
      </c>
      <c r="R53" t="str">
        <f t="shared" si="3"/>
        <v>Normal</v>
      </c>
      <c r="S53" t="str">
        <f t="shared" si="4"/>
        <v>Yes</v>
      </c>
      <c r="T53" t="str" cm="1">
        <f t="array" ref="T53">_xlfn.IFS(A52&lt;30,"18-29",A52&lt;40,"30-39",A52&lt;50,"40-49",A52&lt;60,"50-59",A52&gt;=60,"60+")</f>
        <v>50-59</v>
      </c>
      <c r="U53" t="str">
        <f t="shared" si="5"/>
        <v>High (Stage 2)</v>
      </c>
    </row>
    <row r="54" spans="1:21">
      <c r="A54">
        <v>38</v>
      </c>
      <c r="B54">
        <v>1</v>
      </c>
      <c r="C54">
        <v>2</v>
      </c>
      <c r="D54">
        <v>138</v>
      </c>
      <c r="E54">
        <v>175</v>
      </c>
      <c r="F54">
        <v>0</v>
      </c>
      <c r="G54">
        <v>1</v>
      </c>
      <c r="H54">
        <v>173</v>
      </c>
      <c r="I54">
        <v>0</v>
      </c>
      <c r="J54">
        <v>0</v>
      </c>
      <c r="K54">
        <v>2</v>
      </c>
      <c r="L54">
        <v>4</v>
      </c>
      <c r="M54">
        <v>2</v>
      </c>
      <c r="N54">
        <v>1</v>
      </c>
      <c r="O54" t="str">
        <f t="shared" si="0"/>
        <v>Male</v>
      </c>
      <c r="P54" t="str">
        <f t="shared" si="1"/>
        <v>Heart Disease</v>
      </c>
      <c r="Q54" t="str">
        <f t="shared" si="2"/>
        <v>Non-Anginal Pain</v>
      </c>
      <c r="R54" t="str">
        <f t="shared" si="3"/>
        <v>Normal</v>
      </c>
      <c r="S54" t="str">
        <f t="shared" si="4"/>
        <v>No</v>
      </c>
      <c r="T54" t="str" cm="1">
        <f t="array" ref="T54">_xlfn.IFS(A53&lt;30,"18-29",A53&lt;40,"30-39",A53&lt;50,"40-49",A53&lt;60,"50-59",A53&gt;=60,"60+")</f>
        <v>50-59</v>
      </c>
      <c r="U54" t="str">
        <f t="shared" si="5"/>
        <v>High (Stage 1)</v>
      </c>
    </row>
    <row r="55" spans="1:21">
      <c r="A55">
        <v>49</v>
      </c>
      <c r="B55">
        <v>1</v>
      </c>
      <c r="C55">
        <v>2</v>
      </c>
      <c r="D55">
        <v>120</v>
      </c>
      <c r="E55">
        <v>188</v>
      </c>
      <c r="F55">
        <v>0</v>
      </c>
      <c r="G55">
        <v>1</v>
      </c>
      <c r="H55">
        <v>139</v>
      </c>
      <c r="I55">
        <v>0</v>
      </c>
      <c r="J55">
        <v>2</v>
      </c>
      <c r="K55">
        <v>1</v>
      </c>
      <c r="L55">
        <v>3</v>
      </c>
      <c r="M55">
        <v>3</v>
      </c>
      <c r="N55">
        <v>0</v>
      </c>
      <c r="O55" t="str">
        <f t="shared" si="0"/>
        <v>Male</v>
      </c>
      <c r="P55" t="str">
        <f t="shared" si="1"/>
        <v>No Disease</v>
      </c>
      <c r="Q55" t="str">
        <f t="shared" si="2"/>
        <v>Non-Anginal Pain</v>
      </c>
      <c r="R55" t="str">
        <f t="shared" si="3"/>
        <v>Normal</v>
      </c>
      <c r="S55" t="str">
        <f t="shared" si="4"/>
        <v>No</v>
      </c>
      <c r="T55" t="str" cm="1">
        <f t="array" ref="T55">_xlfn.IFS(A54&lt;30,"18-29",A54&lt;40,"30-39",A54&lt;50,"40-49",A54&lt;60,"50-59",A54&gt;=60,"60+")</f>
        <v>30-39</v>
      </c>
      <c r="U55" t="str">
        <f t="shared" si="5"/>
        <v>Elevated</v>
      </c>
    </row>
    <row r="56" spans="1:21">
      <c r="A56">
        <v>55</v>
      </c>
      <c r="B56">
        <v>1</v>
      </c>
      <c r="C56">
        <v>0</v>
      </c>
      <c r="D56">
        <v>140</v>
      </c>
      <c r="E56">
        <v>217</v>
      </c>
      <c r="F56">
        <v>0</v>
      </c>
      <c r="G56">
        <v>1</v>
      </c>
      <c r="H56">
        <v>111</v>
      </c>
      <c r="I56">
        <v>1</v>
      </c>
      <c r="J56">
        <v>5.6</v>
      </c>
      <c r="K56">
        <v>0</v>
      </c>
      <c r="L56">
        <v>0</v>
      </c>
      <c r="M56">
        <v>3</v>
      </c>
      <c r="N56">
        <v>0</v>
      </c>
      <c r="O56" t="str">
        <f t="shared" si="0"/>
        <v>Male</v>
      </c>
      <c r="P56" t="str">
        <f t="shared" si="1"/>
        <v>No Disease</v>
      </c>
      <c r="Q56" t="str">
        <f t="shared" si="2"/>
        <v>Typical Angina</v>
      </c>
      <c r="R56" t="str">
        <f t="shared" si="3"/>
        <v>Normal</v>
      </c>
      <c r="S56" t="str">
        <f t="shared" si="4"/>
        <v>Yes</v>
      </c>
      <c r="T56" t="str" cm="1">
        <f t="array" ref="T56">_xlfn.IFS(A55&lt;30,"18-29",A55&lt;40,"30-39",A55&lt;50,"40-49",A55&lt;60,"50-59",A55&gt;=60,"60+")</f>
        <v>40-49</v>
      </c>
      <c r="U56" t="str">
        <f t="shared" si="5"/>
        <v>High (Stage 2)</v>
      </c>
    </row>
    <row r="57" spans="1:21">
      <c r="A57">
        <v>55</v>
      </c>
      <c r="B57">
        <v>1</v>
      </c>
      <c r="C57">
        <v>0</v>
      </c>
      <c r="D57">
        <v>140</v>
      </c>
      <c r="E57">
        <v>217</v>
      </c>
      <c r="F57">
        <v>0</v>
      </c>
      <c r="G57">
        <v>1</v>
      </c>
      <c r="H57">
        <v>111</v>
      </c>
      <c r="I57">
        <v>1</v>
      </c>
      <c r="J57">
        <v>5.6</v>
      </c>
      <c r="K57">
        <v>0</v>
      </c>
      <c r="L57">
        <v>0</v>
      </c>
      <c r="M57">
        <v>3</v>
      </c>
      <c r="N57">
        <v>0</v>
      </c>
      <c r="O57" t="str">
        <f t="shared" si="0"/>
        <v>Male</v>
      </c>
      <c r="P57" t="str">
        <f t="shared" si="1"/>
        <v>No Disease</v>
      </c>
      <c r="Q57" t="str">
        <f t="shared" si="2"/>
        <v>Typical Angina</v>
      </c>
      <c r="R57" t="str">
        <f t="shared" si="3"/>
        <v>Normal</v>
      </c>
      <c r="S57" t="str">
        <f t="shared" si="4"/>
        <v>Yes</v>
      </c>
      <c r="T57" t="str" cm="1">
        <f t="array" ref="T57">_xlfn.IFS(A56&lt;30,"18-29",A56&lt;40,"30-39",A56&lt;50,"40-49",A56&lt;60,"50-59",A56&gt;=60,"60+")</f>
        <v>50-59</v>
      </c>
      <c r="U57" t="str">
        <f t="shared" si="5"/>
        <v>High (Stage 2)</v>
      </c>
    </row>
    <row r="58" spans="1:21">
      <c r="A58">
        <v>56</v>
      </c>
      <c r="B58">
        <v>1</v>
      </c>
      <c r="C58">
        <v>3</v>
      </c>
      <c r="D58">
        <v>120</v>
      </c>
      <c r="E58">
        <v>193</v>
      </c>
      <c r="F58">
        <v>0</v>
      </c>
      <c r="G58">
        <v>0</v>
      </c>
      <c r="H58">
        <v>162</v>
      </c>
      <c r="I58">
        <v>0</v>
      </c>
      <c r="J58">
        <v>1.9</v>
      </c>
      <c r="K58">
        <v>1</v>
      </c>
      <c r="L58">
        <v>0</v>
      </c>
      <c r="M58">
        <v>3</v>
      </c>
      <c r="N58">
        <v>1</v>
      </c>
      <c r="O58" t="str">
        <f t="shared" si="0"/>
        <v>Male</v>
      </c>
      <c r="P58" t="str">
        <f t="shared" si="1"/>
        <v>Heart Disease</v>
      </c>
      <c r="Q58" t="str">
        <f t="shared" si="2"/>
        <v>Asymptomatic</v>
      </c>
      <c r="R58" t="str">
        <f t="shared" si="3"/>
        <v>Normal</v>
      </c>
      <c r="S58" t="str">
        <f t="shared" si="4"/>
        <v>No</v>
      </c>
      <c r="T58" t="str" cm="1">
        <f t="array" ref="T58">_xlfn.IFS(A57&lt;30,"18-29",A57&lt;40,"30-39",A57&lt;50,"40-49",A57&lt;60,"50-59",A57&gt;=60,"60+")</f>
        <v>50-59</v>
      </c>
      <c r="U58" t="str">
        <f t="shared" si="5"/>
        <v>Elevated</v>
      </c>
    </row>
    <row r="59" spans="1:21">
      <c r="A59">
        <v>48</v>
      </c>
      <c r="B59">
        <v>1</v>
      </c>
      <c r="C59">
        <v>1</v>
      </c>
      <c r="D59">
        <v>130</v>
      </c>
      <c r="E59">
        <v>245</v>
      </c>
      <c r="F59">
        <v>0</v>
      </c>
      <c r="G59">
        <v>0</v>
      </c>
      <c r="H59">
        <v>180</v>
      </c>
      <c r="I59">
        <v>0</v>
      </c>
      <c r="J59">
        <v>0.2</v>
      </c>
      <c r="K59">
        <v>1</v>
      </c>
      <c r="L59">
        <v>0</v>
      </c>
      <c r="M59">
        <v>2</v>
      </c>
      <c r="N59">
        <v>1</v>
      </c>
      <c r="O59" t="str">
        <f t="shared" si="0"/>
        <v>Male</v>
      </c>
      <c r="P59" t="str">
        <f t="shared" si="1"/>
        <v>Heart Disease</v>
      </c>
      <c r="Q59" t="str">
        <f t="shared" si="2"/>
        <v>Atypical Angina</v>
      </c>
      <c r="R59" t="str">
        <f t="shared" si="3"/>
        <v>Normal</v>
      </c>
      <c r="S59" t="str">
        <f t="shared" si="4"/>
        <v>No</v>
      </c>
      <c r="T59" t="str" cm="1">
        <f t="array" ref="T59">_xlfn.IFS(A58&lt;30,"18-29",A58&lt;40,"30-39",A58&lt;50,"40-49",A58&lt;60,"50-59",A58&gt;=60,"60+")</f>
        <v>50-59</v>
      </c>
      <c r="U59" t="str">
        <f t="shared" si="5"/>
        <v>High (Stage 1)</v>
      </c>
    </row>
    <row r="60" spans="1:21">
      <c r="A60">
        <v>67</v>
      </c>
      <c r="B60">
        <v>1</v>
      </c>
      <c r="C60">
        <v>2</v>
      </c>
      <c r="D60">
        <v>152</v>
      </c>
      <c r="E60">
        <v>212</v>
      </c>
      <c r="F60">
        <v>0</v>
      </c>
      <c r="G60">
        <v>0</v>
      </c>
      <c r="H60">
        <v>150</v>
      </c>
      <c r="I60">
        <v>0</v>
      </c>
      <c r="J60">
        <v>0.8</v>
      </c>
      <c r="K60">
        <v>1</v>
      </c>
      <c r="L60">
        <v>0</v>
      </c>
      <c r="M60">
        <v>3</v>
      </c>
      <c r="N60">
        <v>0</v>
      </c>
      <c r="O60" t="str">
        <f t="shared" si="0"/>
        <v>Male</v>
      </c>
      <c r="P60" t="str">
        <f t="shared" si="1"/>
        <v>No Disease</v>
      </c>
      <c r="Q60" t="str">
        <f t="shared" si="2"/>
        <v>Non-Anginal Pain</v>
      </c>
      <c r="R60" t="str">
        <f t="shared" si="3"/>
        <v>Normal</v>
      </c>
      <c r="S60" t="str">
        <f t="shared" si="4"/>
        <v>No</v>
      </c>
      <c r="T60" t="str" cm="1">
        <f t="array" ref="T60">_xlfn.IFS(A59&lt;30,"18-29",A59&lt;40,"30-39",A59&lt;50,"40-49",A59&lt;60,"50-59",A59&gt;=60,"60+")</f>
        <v>40-49</v>
      </c>
      <c r="U60" t="str">
        <f t="shared" si="5"/>
        <v>High (Stage 2)</v>
      </c>
    </row>
    <row r="61" spans="1:21">
      <c r="A61">
        <v>57</v>
      </c>
      <c r="B61">
        <v>1</v>
      </c>
      <c r="C61">
        <v>1</v>
      </c>
      <c r="D61">
        <v>154</v>
      </c>
      <c r="E61">
        <v>232</v>
      </c>
      <c r="F61">
        <v>0</v>
      </c>
      <c r="G61">
        <v>0</v>
      </c>
      <c r="H61">
        <v>164</v>
      </c>
      <c r="I61">
        <v>0</v>
      </c>
      <c r="J61">
        <v>0</v>
      </c>
      <c r="K61">
        <v>2</v>
      </c>
      <c r="L61">
        <v>1</v>
      </c>
      <c r="M61">
        <v>2</v>
      </c>
      <c r="N61">
        <v>0</v>
      </c>
      <c r="O61" t="str">
        <f t="shared" si="0"/>
        <v>Male</v>
      </c>
      <c r="P61" t="str">
        <f t="shared" si="1"/>
        <v>No Disease</v>
      </c>
      <c r="Q61" t="str">
        <f t="shared" si="2"/>
        <v>Atypical Angina</v>
      </c>
      <c r="R61" t="str">
        <f t="shared" si="3"/>
        <v>Normal</v>
      </c>
      <c r="S61" t="str">
        <f t="shared" si="4"/>
        <v>No</v>
      </c>
      <c r="T61" t="str" cm="1">
        <f t="array" ref="T61">_xlfn.IFS(A60&lt;30,"18-29",A60&lt;40,"30-39",A60&lt;50,"40-49",A60&lt;60,"50-59",A60&gt;=60,"60+")</f>
        <v>60+</v>
      </c>
      <c r="U61" t="str">
        <f t="shared" si="5"/>
        <v>High (Stage 2)</v>
      </c>
    </row>
    <row r="62" spans="1:21">
      <c r="A62">
        <v>29</v>
      </c>
      <c r="B62">
        <v>1</v>
      </c>
      <c r="C62">
        <v>1</v>
      </c>
      <c r="D62">
        <v>130</v>
      </c>
      <c r="E62">
        <v>204</v>
      </c>
      <c r="F62">
        <v>0</v>
      </c>
      <c r="G62">
        <v>0</v>
      </c>
      <c r="H62">
        <v>202</v>
      </c>
      <c r="I62">
        <v>0</v>
      </c>
      <c r="J62">
        <v>0</v>
      </c>
      <c r="K62">
        <v>2</v>
      </c>
      <c r="L62">
        <v>0</v>
      </c>
      <c r="M62">
        <v>2</v>
      </c>
      <c r="N62">
        <v>1</v>
      </c>
      <c r="O62" t="str">
        <f t="shared" si="0"/>
        <v>Male</v>
      </c>
      <c r="P62" t="str">
        <f t="shared" si="1"/>
        <v>Heart Disease</v>
      </c>
      <c r="Q62" t="str">
        <f t="shared" si="2"/>
        <v>Atypical Angina</v>
      </c>
      <c r="R62" t="str">
        <f t="shared" si="3"/>
        <v>Normal</v>
      </c>
      <c r="S62" t="str">
        <f t="shared" si="4"/>
        <v>No</v>
      </c>
      <c r="T62" t="str" cm="1">
        <f t="array" ref="T62">_xlfn.IFS(A61&lt;30,"18-29",A61&lt;40,"30-39",A61&lt;50,"40-49",A61&lt;60,"50-59",A61&gt;=60,"60+")</f>
        <v>50-59</v>
      </c>
      <c r="U62" t="str">
        <f t="shared" si="5"/>
        <v>High (Stage 1)</v>
      </c>
    </row>
    <row r="63" spans="1:21">
      <c r="A63">
        <v>66</v>
      </c>
      <c r="B63">
        <v>0</v>
      </c>
      <c r="C63">
        <v>2</v>
      </c>
      <c r="D63">
        <v>146</v>
      </c>
      <c r="E63">
        <v>278</v>
      </c>
      <c r="F63">
        <v>0</v>
      </c>
      <c r="G63">
        <v>0</v>
      </c>
      <c r="H63">
        <v>152</v>
      </c>
      <c r="I63">
        <v>0</v>
      </c>
      <c r="J63">
        <v>0</v>
      </c>
      <c r="K63">
        <v>1</v>
      </c>
      <c r="L63">
        <v>1</v>
      </c>
      <c r="M63">
        <v>2</v>
      </c>
      <c r="N63">
        <v>1</v>
      </c>
      <c r="O63" t="str">
        <f t="shared" si="0"/>
        <v>Female</v>
      </c>
      <c r="P63" t="str">
        <f t="shared" si="1"/>
        <v>Heart Disease</v>
      </c>
      <c r="Q63" t="str">
        <f t="shared" si="2"/>
        <v>Non-Anginal Pain</v>
      </c>
      <c r="R63" t="str">
        <f t="shared" si="3"/>
        <v>Normal</v>
      </c>
      <c r="S63" t="str">
        <f t="shared" si="4"/>
        <v>No</v>
      </c>
      <c r="T63" t="str" cm="1">
        <f t="array" ref="T63">_xlfn.IFS(A62&lt;30,"18-29",A62&lt;40,"30-39",A62&lt;50,"40-49",A62&lt;60,"50-59",A62&gt;=60,"60+")</f>
        <v>18-29</v>
      </c>
      <c r="U63" t="str">
        <f t="shared" si="5"/>
        <v>High (Stage 2)</v>
      </c>
    </row>
    <row r="64" spans="1:21">
      <c r="A64">
        <v>67</v>
      </c>
      <c r="B64">
        <v>1</v>
      </c>
      <c r="C64">
        <v>0</v>
      </c>
      <c r="D64">
        <v>100</v>
      </c>
      <c r="E64">
        <v>299</v>
      </c>
      <c r="F64">
        <v>0</v>
      </c>
      <c r="G64">
        <v>0</v>
      </c>
      <c r="H64">
        <v>125</v>
      </c>
      <c r="I64">
        <v>1</v>
      </c>
      <c r="J64">
        <v>0.9</v>
      </c>
      <c r="K64">
        <v>1</v>
      </c>
      <c r="L64">
        <v>2</v>
      </c>
      <c r="M64">
        <v>2</v>
      </c>
      <c r="N64">
        <v>0</v>
      </c>
      <c r="O64" t="str">
        <f t="shared" si="0"/>
        <v>Male</v>
      </c>
      <c r="P64" t="str">
        <f t="shared" si="1"/>
        <v>No Disease</v>
      </c>
      <c r="Q64" t="str">
        <f t="shared" si="2"/>
        <v>Typical Angina</v>
      </c>
      <c r="R64" t="str">
        <f t="shared" si="3"/>
        <v>Normal</v>
      </c>
      <c r="S64" t="str">
        <f t="shared" si="4"/>
        <v>Yes</v>
      </c>
      <c r="T64" t="str" cm="1">
        <f t="array" ref="T64">_xlfn.IFS(A63&lt;30,"18-29",A63&lt;40,"30-39",A63&lt;50,"40-49",A63&lt;60,"50-59",A63&gt;=60,"60+")</f>
        <v>60+</v>
      </c>
      <c r="U64" t="str">
        <f t="shared" si="5"/>
        <v>Normal</v>
      </c>
    </row>
    <row r="65" spans="1:21">
      <c r="A65">
        <v>59</v>
      </c>
      <c r="B65">
        <v>1</v>
      </c>
      <c r="C65">
        <v>2</v>
      </c>
      <c r="D65">
        <v>150</v>
      </c>
      <c r="E65">
        <v>212</v>
      </c>
      <c r="F65">
        <v>1</v>
      </c>
      <c r="G65">
        <v>1</v>
      </c>
      <c r="H65">
        <v>157</v>
      </c>
      <c r="I65">
        <v>0</v>
      </c>
      <c r="J65">
        <v>1.6</v>
      </c>
      <c r="K65">
        <v>2</v>
      </c>
      <c r="L65">
        <v>0</v>
      </c>
      <c r="M65">
        <v>2</v>
      </c>
      <c r="N65">
        <v>1</v>
      </c>
      <c r="O65" t="str">
        <f t="shared" si="0"/>
        <v>Male</v>
      </c>
      <c r="P65" t="str">
        <f t="shared" si="1"/>
        <v>Heart Disease</v>
      </c>
      <c r="Q65" t="str">
        <f t="shared" si="2"/>
        <v>Non-Anginal Pain</v>
      </c>
      <c r="R65" t="str">
        <f t="shared" si="3"/>
        <v>High</v>
      </c>
      <c r="S65" t="str">
        <f t="shared" si="4"/>
        <v>No</v>
      </c>
      <c r="T65" t="str" cm="1">
        <f t="array" ref="T65">_xlfn.IFS(A64&lt;30,"18-29",A64&lt;40,"30-39",A64&lt;50,"40-49",A64&lt;60,"50-59",A64&gt;=60,"60+")</f>
        <v>60+</v>
      </c>
      <c r="U65" t="str">
        <f t="shared" si="5"/>
        <v>High (Stage 2)</v>
      </c>
    </row>
    <row r="66" spans="1:21">
      <c r="A66">
        <v>29</v>
      </c>
      <c r="B66">
        <v>1</v>
      </c>
      <c r="C66">
        <v>1</v>
      </c>
      <c r="D66">
        <v>130</v>
      </c>
      <c r="E66">
        <v>204</v>
      </c>
      <c r="F66">
        <v>0</v>
      </c>
      <c r="G66">
        <v>0</v>
      </c>
      <c r="H66">
        <v>202</v>
      </c>
      <c r="I66">
        <v>0</v>
      </c>
      <c r="J66">
        <v>0</v>
      </c>
      <c r="K66">
        <v>2</v>
      </c>
      <c r="L66">
        <v>0</v>
      </c>
      <c r="M66">
        <v>2</v>
      </c>
      <c r="N66">
        <v>1</v>
      </c>
      <c r="O66" t="str">
        <f t="shared" ref="O66:O129" si="6">IF(B66=1,"Male","Female")</f>
        <v>Male</v>
      </c>
      <c r="P66" t="str">
        <f t="shared" ref="P66:P129" si="7">IF(N66=1,"Heart Disease","No Disease")</f>
        <v>Heart Disease</v>
      </c>
      <c r="Q66" t="str">
        <f t="shared" ref="Q66:Q129" si="8">IF(C66=0,"Typical Angina",IF(C66=1,"Atypical Angina",IF(C66=2,"Non-Anginal Pain","Asymptomatic")))</f>
        <v>Atypical Angina</v>
      </c>
      <c r="R66" t="str">
        <f t="shared" ref="R66:R129" si="9">IF(F66=1,"High","Normal")</f>
        <v>Normal</v>
      </c>
      <c r="S66" t="str">
        <f t="shared" ref="S66:S129" si="10">IF(I66=1,"Yes","No")</f>
        <v>No</v>
      </c>
      <c r="T66" t="str" cm="1">
        <f t="array" ref="T66">_xlfn.IFS(A65&lt;30,"18-29",A65&lt;40,"30-39",A65&lt;50,"40-49",A65&lt;60,"50-59",A65&gt;=60,"60+")</f>
        <v>50-59</v>
      </c>
      <c r="U66" t="str">
        <f t="shared" ref="U66:U129" si="11">IF(D66&lt;120,"Normal",IF(D66&lt;130,"Elevated",IF(D66&lt;140,"High (Stage 1)","High (Stage 2)")))</f>
        <v>High (Stage 1)</v>
      </c>
    </row>
    <row r="67" spans="1:21">
      <c r="A67">
        <v>59</v>
      </c>
      <c r="B67">
        <v>1</v>
      </c>
      <c r="C67">
        <v>3</v>
      </c>
      <c r="D67">
        <v>170</v>
      </c>
      <c r="E67">
        <v>288</v>
      </c>
      <c r="F67">
        <v>0</v>
      </c>
      <c r="G67">
        <v>0</v>
      </c>
      <c r="H67">
        <v>159</v>
      </c>
      <c r="I67">
        <v>0</v>
      </c>
      <c r="J67">
        <v>0.2</v>
      </c>
      <c r="K67">
        <v>1</v>
      </c>
      <c r="L67">
        <v>0</v>
      </c>
      <c r="M67">
        <v>3</v>
      </c>
      <c r="N67">
        <v>0</v>
      </c>
      <c r="O67" t="str">
        <f t="shared" si="6"/>
        <v>Male</v>
      </c>
      <c r="P67" t="str">
        <f t="shared" si="7"/>
        <v>No Disease</v>
      </c>
      <c r="Q67" t="str">
        <f t="shared" si="8"/>
        <v>Asymptomatic</v>
      </c>
      <c r="R67" t="str">
        <f t="shared" si="9"/>
        <v>Normal</v>
      </c>
      <c r="S67" t="str">
        <f t="shared" si="10"/>
        <v>No</v>
      </c>
      <c r="T67" t="str" cm="1">
        <f t="array" ref="T67">_xlfn.IFS(A66&lt;30,"18-29",A66&lt;40,"30-39",A66&lt;50,"40-49",A66&lt;60,"50-59",A66&gt;=60,"60+")</f>
        <v>18-29</v>
      </c>
      <c r="U67" t="str">
        <f t="shared" si="11"/>
        <v>High (Stage 2)</v>
      </c>
    </row>
    <row r="68" spans="1:21">
      <c r="A68">
        <v>53</v>
      </c>
      <c r="B68">
        <v>1</v>
      </c>
      <c r="C68">
        <v>2</v>
      </c>
      <c r="D68">
        <v>130</v>
      </c>
      <c r="E68">
        <v>197</v>
      </c>
      <c r="F68">
        <v>1</v>
      </c>
      <c r="G68">
        <v>0</v>
      </c>
      <c r="H68">
        <v>152</v>
      </c>
      <c r="I68">
        <v>0</v>
      </c>
      <c r="J68">
        <v>1.2</v>
      </c>
      <c r="K68">
        <v>0</v>
      </c>
      <c r="L68">
        <v>0</v>
      </c>
      <c r="M68">
        <v>2</v>
      </c>
      <c r="N68">
        <v>1</v>
      </c>
      <c r="O68" t="str">
        <f t="shared" si="6"/>
        <v>Male</v>
      </c>
      <c r="P68" t="str">
        <f t="shared" si="7"/>
        <v>Heart Disease</v>
      </c>
      <c r="Q68" t="str">
        <f t="shared" si="8"/>
        <v>Non-Anginal Pain</v>
      </c>
      <c r="R68" t="str">
        <f t="shared" si="9"/>
        <v>High</v>
      </c>
      <c r="S68" t="str">
        <f t="shared" si="10"/>
        <v>No</v>
      </c>
      <c r="T68" t="str" cm="1">
        <f t="array" ref="T68">_xlfn.IFS(A67&lt;30,"18-29",A67&lt;40,"30-39",A67&lt;50,"40-49",A67&lt;60,"50-59",A67&gt;=60,"60+")</f>
        <v>50-59</v>
      </c>
      <c r="U68" t="str">
        <f t="shared" si="11"/>
        <v>High (Stage 1)</v>
      </c>
    </row>
    <row r="69" spans="1:21">
      <c r="A69">
        <v>42</v>
      </c>
      <c r="B69">
        <v>1</v>
      </c>
      <c r="C69">
        <v>0</v>
      </c>
      <c r="D69">
        <v>136</v>
      </c>
      <c r="E69">
        <v>315</v>
      </c>
      <c r="F69">
        <v>0</v>
      </c>
      <c r="G69">
        <v>1</v>
      </c>
      <c r="H69">
        <v>125</v>
      </c>
      <c r="I69">
        <v>1</v>
      </c>
      <c r="J69">
        <v>1.8</v>
      </c>
      <c r="K69">
        <v>1</v>
      </c>
      <c r="L69">
        <v>0</v>
      </c>
      <c r="M69">
        <v>1</v>
      </c>
      <c r="N69">
        <v>0</v>
      </c>
      <c r="O69" t="str">
        <f t="shared" si="6"/>
        <v>Male</v>
      </c>
      <c r="P69" t="str">
        <f t="shared" si="7"/>
        <v>No Disease</v>
      </c>
      <c r="Q69" t="str">
        <f t="shared" si="8"/>
        <v>Typical Angina</v>
      </c>
      <c r="R69" t="str">
        <f t="shared" si="9"/>
        <v>Normal</v>
      </c>
      <c r="S69" t="str">
        <f t="shared" si="10"/>
        <v>Yes</v>
      </c>
      <c r="T69" t="str" cm="1">
        <f t="array" ref="T69">_xlfn.IFS(A68&lt;30,"18-29",A68&lt;40,"30-39",A68&lt;50,"40-49",A68&lt;60,"50-59",A68&gt;=60,"60+")</f>
        <v>50-59</v>
      </c>
      <c r="U69" t="str">
        <f t="shared" si="11"/>
        <v>High (Stage 1)</v>
      </c>
    </row>
    <row r="70" spans="1:21">
      <c r="A70">
        <v>37</v>
      </c>
      <c r="B70">
        <v>0</v>
      </c>
      <c r="C70">
        <v>2</v>
      </c>
      <c r="D70">
        <v>120</v>
      </c>
      <c r="E70">
        <v>215</v>
      </c>
      <c r="F70">
        <v>0</v>
      </c>
      <c r="G70">
        <v>1</v>
      </c>
      <c r="H70">
        <v>170</v>
      </c>
      <c r="I70">
        <v>0</v>
      </c>
      <c r="J70">
        <v>0</v>
      </c>
      <c r="K70">
        <v>2</v>
      </c>
      <c r="L70">
        <v>0</v>
      </c>
      <c r="M70">
        <v>2</v>
      </c>
      <c r="N70">
        <v>1</v>
      </c>
      <c r="O70" t="str">
        <f t="shared" si="6"/>
        <v>Female</v>
      </c>
      <c r="P70" t="str">
        <f t="shared" si="7"/>
        <v>Heart Disease</v>
      </c>
      <c r="Q70" t="str">
        <f t="shared" si="8"/>
        <v>Non-Anginal Pain</v>
      </c>
      <c r="R70" t="str">
        <f t="shared" si="9"/>
        <v>Normal</v>
      </c>
      <c r="S70" t="str">
        <f t="shared" si="10"/>
        <v>No</v>
      </c>
      <c r="T70" t="str" cm="1">
        <f t="array" ref="T70">_xlfn.IFS(A69&lt;30,"18-29",A69&lt;40,"30-39",A69&lt;50,"40-49",A69&lt;60,"50-59",A69&gt;=60,"60+")</f>
        <v>40-49</v>
      </c>
      <c r="U70" t="str">
        <f t="shared" si="11"/>
        <v>Elevated</v>
      </c>
    </row>
    <row r="71" spans="1:21">
      <c r="A71">
        <v>62</v>
      </c>
      <c r="B71">
        <v>0</v>
      </c>
      <c r="C71">
        <v>0</v>
      </c>
      <c r="D71">
        <v>160</v>
      </c>
      <c r="E71">
        <v>164</v>
      </c>
      <c r="F71">
        <v>0</v>
      </c>
      <c r="G71">
        <v>0</v>
      </c>
      <c r="H71">
        <v>145</v>
      </c>
      <c r="I71">
        <v>0</v>
      </c>
      <c r="J71">
        <v>6.2</v>
      </c>
      <c r="K71">
        <v>0</v>
      </c>
      <c r="L71">
        <v>3</v>
      </c>
      <c r="M71">
        <v>3</v>
      </c>
      <c r="N71">
        <v>0</v>
      </c>
      <c r="O71" t="str">
        <f t="shared" si="6"/>
        <v>Female</v>
      </c>
      <c r="P71" t="str">
        <f t="shared" si="7"/>
        <v>No Disease</v>
      </c>
      <c r="Q71" t="str">
        <f t="shared" si="8"/>
        <v>Typical Angina</v>
      </c>
      <c r="R71" t="str">
        <f t="shared" si="9"/>
        <v>Normal</v>
      </c>
      <c r="S71" t="str">
        <f t="shared" si="10"/>
        <v>No</v>
      </c>
      <c r="T71" t="str" cm="1">
        <f t="array" ref="T71">_xlfn.IFS(A70&lt;30,"18-29",A70&lt;40,"30-39",A70&lt;50,"40-49",A70&lt;60,"50-59",A70&gt;=60,"60+")</f>
        <v>30-39</v>
      </c>
      <c r="U71" t="str">
        <f t="shared" si="11"/>
        <v>High (Stage 2)</v>
      </c>
    </row>
    <row r="72" spans="1:21">
      <c r="A72">
        <v>59</v>
      </c>
      <c r="B72">
        <v>1</v>
      </c>
      <c r="C72">
        <v>0</v>
      </c>
      <c r="D72">
        <v>170</v>
      </c>
      <c r="E72">
        <v>326</v>
      </c>
      <c r="F72">
        <v>0</v>
      </c>
      <c r="G72">
        <v>0</v>
      </c>
      <c r="H72">
        <v>140</v>
      </c>
      <c r="I72">
        <v>1</v>
      </c>
      <c r="J72">
        <v>3.4</v>
      </c>
      <c r="K72">
        <v>0</v>
      </c>
      <c r="L72">
        <v>0</v>
      </c>
      <c r="M72">
        <v>3</v>
      </c>
      <c r="N72">
        <v>0</v>
      </c>
      <c r="O72" t="str">
        <f t="shared" si="6"/>
        <v>Male</v>
      </c>
      <c r="P72" t="str">
        <f t="shared" si="7"/>
        <v>No Disease</v>
      </c>
      <c r="Q72" t="str">
        <f t="shared" si="8"/>
        <v>Typical Angina</v>
      </c>
      <c r="R72" t="str">
        <f t="shared" si="9"/>
        <v>Normal</v>
      </c>
      <c r="S72" t="str">
        <f t="shared" si="10"/>
        <v>Yes</v>
      </c>
      <c r="T72" t="str" cm="1">
        <f t="array" ref="T72">_xlfn.IFS(A71&lt;30,"18-29",A71&lt;40,"30-39",A71&lt;50,"40-49",A71&lt;60,"50-59",A71&gt;=60,"60+")</f>
        <v>60+</v>
      </c>
      <c r="U72" t="str">
        <f t="shared" si="11"/>
        <v>High (Stage 2)</v>
      </c>
    </row>
    <row r="73" spans="1:21">
      <c r="A73">
        <v>61</v>
      </c>
      <c r="B73">
        <v>1</v>
      </c>
      <c r="C73">
        <v>0</v>
      </c>
      <c r="D73">
        <v>140</v>
      </c>
      <c r="E73">
        <v>207</v>
      </c>
      <c r="F73">
        <v>0</v>
      </c>
      <c r="G73">
        <v>0</v>
      </c>
      <c r="H73">
        <v>138</v>
      </c>
      <c r="I73">
        <v>1</v>
      </c>
      <c r="J73">
        <v>1.9</v>
      </c>
      <c r="K73">
        <v>2</v>
      </c>
      <c r="L73">
        <v>1</v>
      </c>
      <c r="M73">
        <v>3</v>
      </c>
      <c r="N73">
        <v>0</v>
      </c>
      <c r="O73" t="str">
        <f t="shared" si="6"/>
        <v>Male</v>
      </c>
      <c r="P73" t="str">
        <f t="shared" si="7"/>
        <v>No Disease</v>
      </c>
      <c r="Q73" t="str">
        <f t="shared" si="8"/>
        <v>Typical Angina</v>
      </c>
      <c r="R73" t="str">
        <f t="shared" si="9"/>
        <v>Normal</v>
      </c>
      <c r="S73" t="str">
        <f t="shared" si="10"/>
        <v>Yes</v>
      </c>
      <c r="T73" t="str" cm="1">
        <f t="array" ref="T73">_xlfn.IFS(A72&lt;30,"18-29",A72&lt;40,"30-39",A72&lt;50,"40-49",A72&lt;60,"50-59",A72&gt;=60,"60+")</f>
        <v>50-59</v>
      </c>
      <c r="U73" t="str">
        <f t="shared" si="11"/>
        <v>High (Stage 2)</v>
      </c>
    </row>
    <row r="74" spans="1:21">
      <c r="A74">
        <v>56</v>
      </c>
      <c r="B74">
        <v>1</v>
      </c>
      <c r="C74">
        <v>0</v>
      </c>
      <c r="D74">
        <v>125</v>
      </c>
      <c r="E74">
        <v>249</v>
      </c>
      <c r="F74">
        <v>1</v>
      </c>
      <c r="G74">
        <v>0</v>
      </c>
      <c r="H74">
        <v>144</v>
      </c>
      <c r="I74">
        <v>1</v>
      </c>
      <c r="J74">
        <v>1.2</v>
      </c>
      <c r="K74">
        <v>1</v>
      </c>
      <c r="L74">
        <v>1</v>
      </c>
      <c r="M74">
        <v>2</v>
      </c>
      <c r="N74">
        <v>0</v>
      </c>
      <c r="O74" t="str">
        <f t="shared" si="6"/>
        <v>Male</v>
      </c>
      <c r="P74" t="str">
        <f t="shared" si="7"/>
        <v>No Disease</v>
      </c>
      <c r="Q74" t="str">
        <f t="shared" si="8"/>
        <v>Typical Angina</v>
      </c>
      <c r="R74" t="str">
        <f t="shared" si="9"/>
        <v>High</v>
      </c>
      <c r="S74" t="str">
        <f t="shared" si="10"/>
        <v>Yes</v>
      </c>
      <c r="T74" t="str" cm="1">
        <f t="array" ref="T74">_xlfn.IFS(A73&lt;30,"18-29",A73&lt;40,"30-39",A73&lt;50,"40-49",A73&lt;60,"50-59",A73&gt;=60,"60+")</f>
        <v>60+</v>
      </c>
      <c r="U74" t="str">
        <f t="shared" si="11"/>
        <v>Elevated</v>
      </c>
    </row>
    <row r="75" spans="1:21">
      <c r="A75">
        <v>59</v>
      </c>
      <c r="B75">
        <v>1</v>
      </c>
      <c r="C75">
        <v>0</v>
      </c>
      <c r="D75">
        <v>140</v>
      </c>
      <c r="E75">
        <v>177</v>
      </c>
      <c r="F75">
        <v>0</v>
      </c>
      <c r="G75">
        <v>1</v>
      </c>
      <c r="H75">
        <v>162</v>
      </c>
      <c r="I75">
        <v>1</v>
      </c>
      <c r="J75">
        <v>0</v>
      </c>
      <c r="K75">
        <v>2</v>
      </c>
      <c r="L75">
        <v>1</v>
      </c>
      <c r="M75">
        <v>3</v>
      </c>
      <c r="N75">
        <v>0</v>
      </c>
      <c r="O75" t="str">
        <f t="shared" si="6"/>
        <v>Male</v>
      </c>
      <c r="P75" t="str">
        <f t="shared" si="7"/>
        <v>No Disease</v>
      </c>
      <c r="Q75" t="str">
        <f t="shared" si="8"/>
        <v>Typical Angina</v>
      </c>
      <c r="R75" t="str">
        <f t="shared" si="9"/>
        <v>Normal</v>
      </c>
      <c r="S75" t="str">
        <f t="shared" si="10"/>
        <v>Yes</v>
      </c>
      <c r="T75" t="str" cm="1">
        <f t="array" ref="T75">_xlfn.IFS(A74&lt;30,"18-29",A74&lt;40,"30-39",A74&lt;50,"40-49",A74&lt;60,"50-59",A74&gt;=60,"60+")</f>
        <v>50-59</v>
      </c>
      <c r="U75" t="str">
        <f t="shared" si="11"/>
        <v>High (Stage 2)</v>
      </c>
    </row>
    <row r="76" spans="1:21">
      <c r="A76">
        <v>48</v>
      </c>
      <c r="B76">
        <v>1</v>
      </c>
      <c r="C76">
        <v>0</v>
      </c>
      <c r="D76">
        <v>130</v>
      </c>
      <c r="E76">
        <v>256</v>
      </c>
      <c r="F76">
        <v>1</v>
      </c>
      <c r="G76">
        <v>0</v>
      </c>
      <c r="H76">
        <v>150</v>
      </c>
      <c r="I76">
        <v>1</v>
      </c>
      <c r="J76">
        <v>0</v>
      </c>
      <c r="K76">
        <v>2</v>
      </c>
      <c r="L76">
        <v>2</v>
      </c>
      <c r="M76">
        <v>3</v>
      </c>
      <c r="N76">
        <v>0</v>
      </c>
      <c r="O76" t="str">
        <f t="shared" si="6"/>
        <v>Male</v>
      </c>
      <c r="P76" t="str">
        <f t="shared" si="7"/>
        <v>No Disease</v>
      </c>
      <c r="Q76" t="str">
        <f t="shared" si="8"/>
        <v>Typical Angina</v>
      </c>
      <c r="R76" t="str">
        <f t="shared" si="9"/>
        <v>High</v>
      </c>
      <c r="S76" t="str">
        <f t="shared" si="10"/>
        <v>Yes</v>
      </c>
      <c r="T76" t="str" cm="1">
        <f t="array" ref="T76">_xlfn.IFS(A75&lt;30,"18-29",A75&lt;40,"30-39",A75&lt;50,"40-49",A75&lt;60,"50-59",A75&gt;=60,"60+")</f>
        <v>50-59</v>
      </c>
      <c r="U76" t="str">
        <f t="shared" si="11"/>
        <v>High (Stage 1)</v>
      </c>
    </row>
    <row r="77" spans="1:21">
      <c r="A77">
        <v>47</v>
      </c>
      <c r="B77">
        <v>1</v>
      </c>
      <c r="C77">
        <v>2</v>
      </c>
      <c r="D77">
        <v>138</v>
      </c>
      <c r="E77">
        <v>257</v>
      </c>
      <c r="F77">
        <v>0</v>
      </c>
      <c r="G77">
        <v>0</v>
      </c>
      <c r="H77">
        <v>156</v>
      </c>
      <c r="I77">
        <v>0</v>
      </c>
      <c r="J77">
        <v>0</v>
      </c>
      <c r="K77">
        <v>2</v>
      </c>
      <c r="L77">
        <v>0</v>
      </c>
      <c r="M77">
        <v>2</v>
      </c>
      <c r="N77">
        <v>1</v>
      </c>
      <c r="O77" t="str">
        <f t="shared" si="6"/>
        <v>Male</v>
      </c>
      <c r="P77" t="str">
        <f t="shared" si="7"/>
        <v>Heart Disease</v>
      </c>
      <c r="Q77" t="str">
        <f t="shared" si="8"/>
        <v>Non-Anginal Pain</v>
      </c>
      <c r="R77" t="str">
        <f t="shared" si="9"/>
        <v>Normal</v>
      </c>
      <c r="S77" t="str">
        <f t="shared" si="10"/>
        <v>No</v>
      </c>
      <c r="T77" t="str" cm="1">
        <f t="array" ref="T77">_xlfn.IFS(A76&lt;30,"18-29",A76&lt;40,"30-39",A76&lt;50,"40-49",A76&lt;60,"50-59",A76&gt;=60,"60+")</f>
        <v>40-49</v>
      </c>
      <c r="U77" t="str">
        <f t="shared" si="11"/>
        <v>High (Stage 1)</v>
      </c>
    </row>
    <row r="78" spans="1:21">
      <c r="A78">
        <v>48</v>
      </c>
      <c r="B78">
        <v>1</v>
      </c>
      <c r="C78">
        <v>2</v>
      </c>
      <c r="D78">
        <v>124</v>
      </c>
      <c r="E78">
        <v>255</v>
      </c>
      <c r="F78">
        <v>1</v>
      </c>
      <c r="G78">
        <v>1</v>
      </c>
      <c r="H78">
        <v>175</v>
      </c>
      <c r="I78">
        <v>0</v>
      </c>
      <c r="J78">
        <v>0</v>
      </c>
      <c r="K78">
        <v>2</v>
      </c>
      <c r="L78">
        <v>2</v>
      </c>
      <c r="M78">
        <v>2</v>
      </c>
      <c r="N78">
        <v>1</v>
      </c>
      <c r="O78" t="str">
        <f t="shared" si="6"/>
        <v>Male</v>
      </c>
      <c r="P78" t="str">
        <f t="shared" si="7"/>
        <v>Heart Disease</v>
      </c>
      <c r="Q78" t="str">
        <f t="shared" si="8"/>
        <v>Non-Anginal Pain</v>
      </c>
      <c r="R78" t="str">
        <f t="shared" si="9"/>
        <v>High</v>
      </c>
      <c r="S78" t="str">
        <f t="shared" si="10"/>
        <v>No</v>
      </c>
      <c r="T78" t="str" cm="1">
        <f t="array" ref="T78">_xlfn.IFS(A77&lt;30,"18-29",A77&lt;40,"30-39",A77&lt;50,"40-49",A77&lt;60,"50-59",A77&gt;=60,"60+")</f>
        <v>40-49</v>
      </c>
      <c r="U78" t="str">
        <f t="shared" si="11"/>
        <v>Elevated</v>
      </c>
    </row>
    <row r="79" spans="1:21">
      <c r="A79">
        <v>63</v>
      </c>
      <c r="B79">
        <v>1</v>
      </c>
      <c r="C79">
        <v>0</v>
      </c>
      <c r="D79">
        <v>140</v>
      </c>
      <c r="E79">
        <v>187</v>
      </c>
      <c r="F79">
        <v>0</v>
      </c>
      <c r="G79">
        <v>0</v>
      </c>
      <c r="H79">
        <v>144</v>
      </c>
      <c r="I79">
        <v>1</v>
      </c>
      <c r="J79">
        <v>4</v>
      </c>
      <c r="K79">
        <v>2</v>
      </c>
      <c r="L79">
        <v>2</v>
      </c>
      <c r="M79">
        <v>3</v>
      </c>
      <c r="N79">
        <v>0</v>
      </c>
      <c r="O79" t="str">
        <f t="shared" si="6"/>
        <v>Male</v>
      </c>
      <c r="P79" t="str">
        <f t="shared" si="7"/>
        <v>No Disease</v>
      </c>
      <c r="Q79" t="str">
        <f t="shared" si="8"/>
        <v>Typical Angina</v>
      </c>
      <c r="R79" t="str">
        <f t="shared" si="9"/>
        <v>Normal</v>
      </c>
      <c r="S79" t="str">
        <f t="shared" si="10"/>
        <v>Yes</v>
      </c>
      <c r="T79" t="str" cm="1">
        <f t="array" ref="T79">_xlfn.IFS(A78&lt;30,"18-29",A78&lt;40,"30-39",A78&lt;50,"40-49",A78&lt;60,"50-59",A78&gt;=60,"60+")</f>
        <v>40-49</v>
      </c>
      <c r="U79" t="str">
        <f t="shared" si="11"/>
        <v>High (Stage 2)</v>
      </c>
    </row>
    <row r="80" spans="1:21">
      <c r="A80">
        <v>52</v>
      </c>
      <c r="B80">
        <v>1</v>
      </c>
      <c r="C80">
        <v>1</v>
      </c>
      <c r="D80">
        <v>134</v>
      </c>
      <c r="E80">
        <v>201</v>
      </c>
      <c r="F80">
        <v>0</v>
      </c>
      <c r="G80">
        <v>1</v>
      </c>
      <c r="H80">
        <v>158</v>
      </c>
      <c r="I80">
        <v>0</v>
      </c>
      <c r="J80">
        <v>0.8</v>
      </c>
      <c r="K80">
        <v>2</v>
      </c>
      <c r="L80">
        <v>1</v>
      </c>
      <c r="M80">
        <v>2</v>
      </c>
      <c r="N80">
        <v>1</v>
      </c>
      <c r="O80" t="str">
        <f t="shared" si="6"/>
        <v>Male</v>
      </c>
      <c r="P80" t="str">
        <f t="shared" si="7"/>
        <v>Heart Disease</v>
      </c>
      <c r="Q80" t="str">
        <f t="shared" si="8"/>
        <v>Atypical Angina</v>
      </c>
      <c r="R80" t="str">
        <f t="shared" si="9"/>
        <v>Normal</v>
      </c>
      <c r="S80" t="str">
        <f t="shared" si="10"/>
        <v>No</v>
      </c>
      <c r="T80" t="str" cm="1">
        <f t="array" ref="T80">_xlfn.IFS(A79&lt;30,"18-29",A79&lt;40,"30-39",A79&lt;50,"40-49",A79&lt;60,"50-59",A79&gt;=60,"60+")</f>
        <v>60+</v>
      </c>
      <c r="U80" t="str">
        <f t="shared" si="11"/>
        <v>High (Stage 1)</v>
      </c>
    </row>
    <row r="81" spans="1:21">
      <c r="A81">
        <v>52</v>
      </c>
      <c r="B81">
        <v>1</v>
      </c>
      <c r="C81">
        <v>1</v>
      </c>
      <c r="D81">
        <v>134</v>
      </c>
      <c r="E81">
        <v>201</v>
      </c>
      <c r="F81">
        <v>0</v>
      </c>
      <c r="G81">
        <v>1</v>
      </c>
      <c r="H81">
        <v>158</v>
      </c>
      <c r="I81">
        <v>0</v>
      </c>
      <c r="J81">
        <v>0.8</v>
      </c>
      <c r="K81">
        <v>2</v>
      </c>
      <c r="L81">
        <v>1</v>
      </c>
      <c r="M81">
        <v>2</v>
      </c>
      <c r="N81">
        <v>1</v>
      </c>
      <c r="O81" t="str">
        <f t="shared" si="6"/>
        <v>Male</v>
      </c>
      <c r="P81" t="str">
        <f t="shared" si="7"/>
        <v>Heart Disease</v>
      </c>
      <c r="Q81" t="str">
        <f t="shared" si="8"/>
        <v>Atypical Angina</v>
      </c>
      <c r="R81" t="str">
        <f t="shared" si="9"/>
        <v>Normal</v>
      </c>
      <c r="S81" t="str">
        <f t="shared" si="10"/>
        <v>No</v>
      </c>
      <c r="T81" t="str" cm="1">
        <f t="array" ref="T81">_xlfn.IFS(A80&lt;30,"18-29",A80&lt;40,"30-39",A80&lt;50,"40-49",A80&lt;60,"50-59",A80&gt;=60,"60+")</f>
        <v>50-59</v>
      </c>
      <c r="U81" t="str">
        <f t="shared" si="11"/>
        <v>High (Stage 1)</v>
      </c>
    </row>
    <row r="82" spans="1:21">
      <c r="A82">
        <v>50</v>
      </c>
      <c r="B82">
        <v>1</v>
      </c>
      <c r="C82">
        <v>2</v>
      </c>
      <c r="D82">
        <v>140</v>
      </c>
      <c r="E82">
        <v>233</v>
      </c>
      <c r="F82">
        <v>0</v>
      </c>
      <c r="G82">
        <v>1</v>
      </c>
      <c r="H82">
        <v>163</v>
      </c>
      <c r="I82">
        <v>0</v>
      </c>
      <c r="J82">
        <v>0.6</v>
      </c>
      <c r="K82">
        <v>1</v>
      </c>
      <c r="L82">
        <v>1</v>
      </c>
      <c r="M82">
        <v>3</v>
      </c>
      <c r="N82">
        <v>0</v>
      </c>
      <c r="O82" t="str">
        <f t="shared" si="6"/>
        <v>Male</v>
      </c>
      <c r="P82" t="str">
        <f t="shared" si="7"/>
        <v>No Disease</v>
      </c>
      <c r="Q82" t="str">
        <f t="shared" si="8"/>
        <v>Non-Anginal Pain</v>
      </c>
      <c r="R82" t="str">
        <f t="shared" si="9"/>
        <v>Normal</v>
      </c>
      <c r="S82" t="str">
        <f t="shared" si="10"/>
        <v>No</v>
      </c>
      <c r="T82" t="str" cm="1">
        <f t="array" ref="T82">_xlfn.IFS(A81&lt;30,"18-29",A81&lt;40,"30-39",A81&lt;50,"40-49",A81&lt;60,"50-59",A81&gt;=60,"60+")</f>
        <v>50-59</v>
      </c>
      <c r="U82" t="str">
        <f t="shared" si="11"/>
        <v>High (Stage 2)</v>
      </c>
    </row>
    <row r="83" spans="1:21">
      <c r="A83">
        <v>49</v>
      </c>
      <c r="B83">
        <v>1</v>
      </c>
      <c r="C83">
        <v>2</v>
      </c>
      <c r="D83">
        <v>118</v>
      </c>
      <c r="E83">
        <v>149</v>
      </c>
      <c r="F83">
        <v>0</v>
      </c>
      <c r="G83">
        <v>0</v>
      </c>
      <c r="H83">
        <v>126</v>
      </c>
      <c r="I83">
        <v>0</v>
      </c>
      <c r="J83">
        <v>0.8</v>
      </c>
      <c r="K83">
        <v>2</v>
      </c>
      <c r="L83">
        <v>3</v>
      </c>
      <c r="M83">
        <v>2</v>
      </c>
      <c r="N83">
        <v>0</v>
      </c>
      <c r="O83" t="str">
        <f t="shared" si="6"/>
        <v>Male</v>
      </c>
      <c r="P83" t="str">
        <f t="shared" si="7"/>
        <v>No Disease</v>
      </c>
      <c r="Q83" t="str">
        <f t="shared" si="8"/>
        <v>Non-Anginal Pain</v>
      </c>
      <c r="R83" t="str">
        <f t="shared" si="9"/>
        <v>Normal</v>
      </c>
      <c r="S83" t="str">
        <f t="shared" si="10"/>
        <v>No</v>
      </c>
      <c r="T83" t="str" cm="1">
        <f t="array" ref="T83">_xlfn.IFS(A82&lt;30,"18-29",A82&lt;40,"30-39",A82&lt;50,"40-49",A82&lt;60,"50-59",A82&gt;=60,"60+")</f>
        <v>50-59</v>
      </c>
      <c r="U83" t="str">
        <f t="shared" si="11"/>
        <v>Normal</v>
      </c>
    </row>
    <row r="84" spans="1:21">
      <c r="A84">
        <v>46</v>
      </c>
      <c r="B84">
        <v>1</v>
      </c>
      <c r="C84">
        <v>2</v>
      </c>
      <c r="D84">
        <v>150</v>
      </c>
      <c r="E84">
        <v>231</v>
      </c>
      <c r="F84">
        <v>0</v>
      </c>
      <c r="G84">
        <v>1</v>
      </c>
      <c r="H84">
        <v>147</v>
      </c>
      <c r="I84">
        <v>0</v>
      </c>
      <c r="J84">
        <v>3.6</v>
      </c>
      <c r="K84">
        <v>1</v>
      </c>
      <c r="L84">
        <v>0</v>
      </c>
      <c r="M84">
        <v>2</v>
      </c>
      <c r="N84">
        <v>0</v>
      </c>
      <c r="O84" t="str">
        <f t="shared" si="6"/>
        <v>Male</v>
      </c>
      <c r="P84" t="str">
        <f t="shared" si="7"/>
        <v>No Disease</v>
      </c>
      <c r="Q84" t="str">
        <f t="shared" si="8"/>
        <v>Non-Anginal Pain</v>
      </c>
      <c r="R84" t="str">
        <f t="shared" si="9"/>
        <v>Normal</v>
      </c>
      <c r="S84" t="str">
        <f t="shared" si="10"/>
        <v>No</v>
      </c>
      <c r="T84" t="str" cm="1">
        <f t="array" ref="T84">_xlfn.IFS(A83&lt;30,"18-29",A83&lt;40,"30-39",A83&lt;50,"40-49",A83&lt;60,"50-59",A83&gt;=60,"60+")</f>
        <v>40-49</v>
      </c>
      <c r="U84" t="str">
        <f t="shared" si="11"/>
        <v>High (Stage 2)</v>
      </c>
    </row>
    <row r="85" spans="1:21">
      <c r="A85">
        <v>38</v>
      </c>
      <c r="B85">
        <v>1</v>
      </c>
      <c r="C85">
        <v>2</v>
      </c>
      <c r="D85">
        <v>138</v>
      </c>
      <c r="E85">
        <v>175</v>
      </c>
      <c r="F85">
        <v>0</v>
      </c>
      <c r="G85">
        <v>1</v>
      </c>
      <c r="H85">
        <v>173</v>
      </c>
      <c r="I85">
        <v>0</v>
      </c>
      <c r="J85">
        <v>0</v>
      </c>
      <c r="K85">
        <v>2</v>
      </c>
      <c r="L85">
        <v>4</v>
      </c>
      <c r="M85">
        <v>2</v>
      </c>
      <c r="N85">
        <v>1</v>
      </c>
      <c r="O85" t="str">
        <f t="shared" si="6"/>
        <v>Male</v>
      </c>
      <c r="P85" t="str">
        <f t="shared" si="7"/>
        <v>Heart Disease</v>
      </c>
      <c r="Q85" t="str">
        <f t="shared" si="8"/>
        <v>Non-Anginal Pain</v>
      </c>
      <c r="R85" t="str">
        <f t="shared" si="9"/>
        <v>Normal</v>
      </c>
      <c r="S85" t="str">
        <f t="shared" si="10"/>
        <v>No</v>
      </c>
      <c r="T85" t="str" cm="1">
        <f t="array" ref="T85">_xlfn.IFS(A84&lt;30,"18-29",A84&lt;40,"30-39",A84&lt;50,"40-49",A84&lt;60,"50-59",A84&gt;=60,"60+")</f>
        <v>40-49</v>
      </c>
      <c r="U85" t="str">
        <f t="shared" si="11"/>
        <v>High (Stage 1)</v>
      </c>
    </row>
    <row r="86" spans="1:21">
      <c r="A86">
        <v>37</v>
      </c>
      <c r="B86">
        <v>0</v>
      </c>
      <c r="C86">
        <v>2</v>
      </c>
      <c r="D86">
        <v>120</v>
      </c>
      <c r="E86">
        <v>215</v>
      </c>
      <c r="F86">
        <v>0</v>
      </c>
      <c r="G86">
        <v>1</v>
      </c>
      <c r="H86">
        <v>170</v>
      </c>
      <c r="I86">
        <v>0</v>
      </c>
      <c r="J86">
        <v>0</v>
      </c>
      <c r="K86">
        <v>2</v>
      </c>
      <c r="L86">
        <v>0</v>
      </c>
      <c r="M86">
        <v>2</v>
      </c>
      <c r="N86">
        <v>1</v>
      </c>
      <c r="O86" t="str">
        <f t="shared" si="6"/>
        <v>Female</v>
      </c>
      <c r="P86" t="str">
        <f t="shared" si="7"/>
        <v>Heart Disease</v>
      </c>
      <c r="Q86" t="str">
        <f t="shared" si="8"/>
        <v>Non-Anginal Pain</v>
      </c>
      <c r="R86" t="str">
        <f t="shared" si="9"/>
        <v>Normal</v>
      </c>
      <c r="S86" t="str">
        <f t="shared" si="10"/>
        <v>No</v>
      </c>
      <c r="T86" t="str" cm="1">
        <f t="array" ref="T86">_xlfn.IFS(A85&lt;30,"18-29",A85&lt;40,"30-39",A85&lt;50,"40-49",A85&lt;60,"50-59",A85&gt;=60,"60+")</f>
        <v>30-39</v>
      </c>
      <c r="U86" t="str">
        <f t="shared" si="11"/>
        <v>Elevated</v>
      </c>
    </row>
    <row r="87" spans="1:21">
      <c r="A87">
        <v>44</v>
      </c>
      <c r="B87">
        <v>1</v>
      </c>
      <c r="C87">
        <v>1</v>
      </c>
      <c r="D87">
        <v>120</v>
      </c>
      <c r="E87">
        <v>220</v>
      </c>
      <c r="F87">
        <v>0</v>
      </c>
      <c r="G87">
        <v>1</v>
      </c>
      <c r="H87">
        <v>170</v>
      </c>
      <c r="I87">
        <v>0</v>
      </c>
      <c r="J87">
        <v>0</v>
      </c>
      <c r="K87">
        <v>2</v>
      </c>
      <c r="L87">
        <v>0</v>
      </c>
      <c r="M87">
        <v>2</v>
      </c>
      <c r="N87">
        <v>1</v>
      </c>
      <c r="O87" t="str">
        <f t="shared" si="6"/>
        <v>Male</v>
      </c>
      <c r="P87" t="str">
        <f t="shared" si="7"/>
        <v>Heart Disease</v>
      </c>
      <c r="Q87" t="str">
        <f t="shared" si="8"/>
        <v>Atypical Angina</v>
      </c>
      <c r="R87" t="str">
        <f t="shared" si="9"/>
        <v>Normal</v>
      </c>
      <c r="S87" t="str">
        <f t="shared" si="10"/>
        <v>No</v>
      </c>
      <c r="T87" t="str" cm="1">
        <f t="array" ref="T87">_xlfn.IFS(A86&lt;30,"18-29",A86&lt;40,"30-39",A86&lt;50,"40-49",A86&lt;60,"50-59",A86&gt;=60,"60+")</f>
        <v>30-39</v>
      </c>
      <c r="U87" t="str">
        <f t="shared" si="11"/>
        <v>Elevated</v>
      </c>
    </row>
    <row r="88" spans="1:21">
      <c r="A88">
        <v>58</v>
      </c>
      <c r="B88">
        <v>1</v>
      </c>
      <c r="C88">
        <v>2</v>
      </c>
      <c r="D88">
        <v>140</v>
      </c>
      <c r="E88">
        <v>211</v>
      </c>
      <c r="F88">
        <v>1</v>
      </c>
      <c r="G88">
        <v>0</v>
      </c>
      <c r="H88">
        <v>165</v>
      </c>
      <c r="I88">
        <v>0</v>
      </c>
      <c r="J88">
        <v>0</v>
      </c>
      <c r="K88">
        <v>2</v>
      </c>
      <c r="L88">
        <v>0</v>
      </c>
      <c r="M88">
        <v>2</v>
      </c>
      <c r="N88">
        <v>1</v>
      </c>
      <c r="O88" t="str">
        <f t="shared" si="6"/>
        <v>Male</v>
      </c>
      <c r="P88" t="str">
        <f t="shared" si="7"/>
        <v>Heart Disease</v>
      </c>
      <c r="Q88" t="str">
        <f t="shared" si="8"/>
        <v>Non-Anginal Pain</v>
      </c>
      <c r="R88" t="str">
        <f t="shared" si="9"/>
        <v>High</v>
      </c>
      <c r="S88" t="str">
        <f t="shared" si="10"/>
        <v>No</v>
      </c>
      <c r="T88" t="str" cm="1">
        <f t="array" ref="T88">_xlfn.IFS(A87&lt;30,"18-29",A87&lt;40,"30-39",A87&lt;50,"40-49",A87&lt;60,"50-59",A87&gt;=60,"60+")</f>
        <v>40-49</v>
      </c>
      <c r="U88" t="str">
        <f t="shared" si="11"/>
        <v>High (Stage 2)</v>
      </c>
    </row>
    <row r="89" spans="1:21">
      <c r="A89">
        <v>59</v>
      </c>
      <c r="B89">
        <v>0</v>
      </c>
      <c r="C89">
        <v>0</v>
      </c>
      <c r="D89">
        <v>174</v>
      </c>
      <c r="E89">
        <v>249</v>
      </c>
      <c r="F89">
        <v>0</v>
      </c>
      <c r="G89">
        <v>1</v>
      </c>
      <c r="H89">
        <v>143</v>
      </c>
      <c r="I89">
        <v>1</v>
      </c>
      <c r="J89">
        <v>0</v>
      </c>
      <c r="K89">
        <v>1</v>
      </c>
      <c r="L89">
        <v>0</v>
      </c>
      <c r="M89">
        <v>2</v>
      </c>
      <c r="N89">
        <v>0</v>
      </c>
      <c r="O89" t="str">
        <f t="shared" si="6"/>
        <v>Female</v>
      </c>
      <c r="P89" t="str">
        <f t="shared" si="7"/>
        <v>No Disease</v>
      </c>
      <c r="Q89" t="str">
        <f t="shared" si="8"/>
        <v>Typical Angina</v>
      </c>
      <c r="R89" t="str">
        <f t="shared" si="9"/>
        <v>Normal</v>
      </c>
      <c r="S89" t="str">
        <f t="shared" si="10"/>
        <v>Yes</v>
      </c>
      <c r="T89" t="str" cm="1">
        <f t="array" ref="T89">_xlfn.IFS(A88&lt;30,"18-29",A88&lt;40,"30-39",A88&lt;50,"40-49",A88&lt;60,"50-59",A88&gt;=60,"60+")</f>
        <v>50-59</v>
      </c>
      <c r="U89" t="str">
        <f t="shared" si="11"/>
        <v>High (Stage 2)</v>
      </c>
    </row>
    <row r="90" spans="1:21">
      <c r="A90">
        <v>62</v>
      </c>
      <c r="B90">
        <v>0</v>
      </c>
      <c r="C90">
        <v>0</v>
      </c>
      <c r="D90">
        <v>140</v>
      </c>
      <c r="E90">
        <v>268</v>
      </c>
      <c r="F90">
        <v>0</v>
      </c>
      <c r="G90">
        <v>0</v>
      </c>
      <c r="H90">
        <v>160</v>
      </c>
      <c r="I90">
        <v>0</v>
      </c>
      <c r="J90">
        <v>3.6</v>
      </c>
      <c r="K90">
        <v>0</v>
      </c>
      <c r="L90">
        <v>2</v>
      </c>
      <c r="M90">
        <v>2</v>
      </c>
      <c r="N90">
        <v>0</v>
      </c>
      <c r="O90" t="str">
        <f t="shared" si="6"/>
        <v>Female</v>
      </c>
      <c r="P90" t="str">
        <f t="shared" si="7"/>
        <v>No Disease</v>
      </c>
      <c r="Q90" t="str">
        <f t="shared" si="8"/>
        <v>Typical Angina</v>
      </c>
      <c r="R90" t="str">
        <f t="shared" si="9"/>
        <v>Normal</v>
      </c>
      <c r="S90" t="str">
        <f t="shared" si="10"/>
        <v>No</v>
      </c>
      <c r="T90" t="str" cm="1">
        <f t="array" ref="T90">_xlfn.IFS(A89&lt;30,"18-29",A89&lt;40,"30-39",A89&lt;50,"40-49",A89&lt;60,"50-59",A89&gt;=60,"60+")</f>
        <v>50-59</v>
      </c>
      <c r="U90" t="str">
        <f t="shared" si="11"/>
        <v>High (Stage 2)</v>
      </c>
    </row>
    <row r="91" spans="1:21">
      <c r="A91">
        <v>68</v>
      </c>
      <c r="B91">
        <v>1</v>
      </c>
      <c r="C91">
        <v>0</v>
      </c>
      <c r="D91">
        <v>144</v>
      </c>
      <c r="E91">
        <v>193</v>
      </c>
      <c r="F91">
        <v>1</v>
      </c>
      <c r="G91">
        <v>1</v>
      </c>
      <c r="H91">
        <v>141</v>
      </c>
      <c r="I91">
        <v>0</v>
      </c>
      <c r="J91">
        <v>3.4</v>
      </c>
      <c r="K91">
        <v>1</v>
      </c>
      <c r="L91">
        <v>2</v>
      </c>
      <c r="M91">
        <v>3</v>
      </c>
      <c r="N91">
        <v>0</v>
      </c>
      <c r="O91" t="str">
        <f t="shared" si="6"/>
        <v>Male</v>
      </c>
      <c r="P91" t="str">
        <f t="shared" si="7"/>
        <v>No Disease</v>
      </c>
      <c r="Q91" t="str">
        <f t="shared" si="8"/>
        <v>Typical Angina</v>
      </c>
      <c r="R91" t="str">
        <f t="shared" si="9"/>
        <v>High</v>
      </c>
      <c r="S91" t="str">
        <f t="shared" si="10"/>
        <v>No</v>
      </c>
      <c r="T91" t="str" cm="1">
        <f t="array" ref="T91">_xlfn.IFS(A90&lt;30,"18-29",A90&lt;40,"30-39",A90&lt;50,"40-49",A90&lt;60,"50-59",A90&gt;=60,"60+")</f>
        <v>60+</v>
      </c>
      <c r="U91" t="str">
        <f t="shared" si="11"/>
        <v>High (Stage 2)</v>
      </c>
    </row>
    <row r="92" spans="1:21">
      <c r="A92">
        <v>54</v>
      </c>
      <c r="B92">
        <v>0</v>
      </c>
      <c r="C92">
        <v>2</v>
      </c>
      <c r="D92">
        <v>108</v>
      </c>
      <c r="E92">
        <v>267</v>
      </c>
      <c r="F92">
        <v>0</v>
      </c>
      <c r="G92">
        <v>0</v>
      </c>
      <c r="H92">
        <v>167</v>
      </c>
      <c r="I92">
        <v>0</v>
      </c>
      <c r="J92">
        <v>0</v>
      </c>
      <c r="K92">
        <v>2</v>
      </c>
      <c r="L92">
        <v>0</v>
      </c>
      <c r="M92">
        <v>2</v>
      </c>
      <c r="N92">
        <v>1</v>
      </c>
      <c r="O92" t="str">
        <f t="shared" si="6"/>
        <v>Female</v>
      </c>
      <c r="P92" t="str">
        <f t="shared" si="7"/>
        <v>Heart Disease</v>
      </c>
      <c r="Q92" t="str">
        <f t="shared" si="8"/>
        <v>Non-Anginal Pain</v>
      </c>
      <c r="R92" t="str">
        <f t="shared" si="9"/>
        <v>Normal</v>
      </c>
      <c r="S92" t="str">
        <f t="shared" si="10"/>
        <v>No</v>
      </c>
      <c r="T92" t="str" cm="1">
        <f t="array" ref="T92">_xlfn.IFS(A91&lt;30,"18-29",A91&lt;40,"30-39",A91&lt;50,"40-49",A91&lt;60,"50-59",A91&gt;=60,"60+")</f>
        <v>60+</v>
      </c>
      <c r="U92" t="str">
        <f t="shared" si="11"/>
        <v>Normal</v>
      </c>
    </row>
    <row r="93" spans="1:21">
      <c r="A93">
        <v>62</v>
      </c>
      <c r="B93">
        <v>0</v>
      </c>
      <c r="C93">
        <v>0</v>
      </c>
      <c r="D93">
        <v>124</v>
      </c>
      <c r="E93">
        <v>209</v>
      </c>
      <c r="F93">
        <v>0</v>
      </c>
      <c r="G93">
        <v>1</v>
      </c>
      <c r="H93">
        <v>163</v>
      </c>
      <c r="I93">
        <v>0</v>
      </c>
      <c r="J93">
        <v>0</v>
      </c>
      <c r="K93">
        <v>2</v>
      </c>
      <c r="L93">
        <v>0</v>
      </c>
      <c r="M93">
        <v>2</v>
      </c>
      <c r="N93">
        <v>1</v>
      </c>
      <c r="O93" t="str">
        <f t="shared" si="6"/>
        <v>Female</v>
      </c>
      <c r="P93" t="str">
        <f t="shared" si="7"/>
        <v>Heart Disease</v>
      </c>
      <c r="Q93" t="str">
        <f t="shared" si="8"/>
        <v>Typical Angina</v>
      </c>
      <c r="R93" t="str">
        <f t="shared" si="9"/>
        <v>Normal</v>
      </c>
      <c r="S93" t="str">
        <f t="shared" si="10"/>
        <v>No</v>
      </c>
      <c r="T93" t="str" cm="1">
        <f t="array" ref="T93">_xlfn.IFS(A92&lt;30,"18-29",A92&lt;40,"30-39",A92&lt;50,"40-49",A92&lt;60,"50-59",A92&gt;=60,"60+")</f>
        <v>50-59</v>
      </c>
      <c r="U93" t="str">
        <f t="shared" si="11"/>
        <v>Elevated</v>
      </c>
    </row>
    <row r="94" spans="1:21">
      <c r="A94">
        <v>63</v>
      </c>
      <c r="B94">
        <v>1</v>
      </c>
      <c r="C94">
        <v>0</v>
      </c>
      <c r="D94">
        <v>140</v>
      </c>
      <c r="E94">
        <v>187</v>
      </c>
      <c r="F94">
        <v>0</v>
      </c>
      <c r="G94">
        <v>0</v>
      </c>
      <c r="H94">
        <v>144</v>
      </c>
      <c r="I94">
        <v>1</v>
      </c>
      <c r="J94">
        <v>4</v>
      </c>
      <c r="K94">
        <v>2</v>
      </c>
      <c r="L94">
        <v>2</v>
      </c>
      <c r="M94">
        <v>3</v>
      </c>
      <c r="N94">
        <v>0</v>
      </c>
      <c r="O94" t="str">
        <f t="shared" si="6"/>
        <v>Male</v>
      </c>
      <c r="P94" t="str">
        <f t="shared" si="7"/>
        <v>No Disease</v>
      </c>
      <c r="Q94" t="str">
        <f t="shared" si="8"/>
        <v>Typical Angina</v>
      </c>
      <c r="R94" t="str">
        <f t="shared" si="9"/>
        <v>Normal</v>
      </c>
      <c r="S94" t="str">
        <f t="shared" si="10"/>
        <v>Yes</v>
      </c>
      <c r="T94" t="str" cm="1">
        <f t="array" ref="T94">_xlfn.IFS(A93&lt;30,"18-29",A93&lt;40,"30-39",A93&lt;50,"40-49",A93&lt;60,"50-59",A93&gt;=60,"60+")</f>
        <v>60+</v>
      </c>
      <c r="U94" t="str">
        <f t="shared" si="11"/>
        <v>High (Stage 2)</v>
      </c>
    </row>
    <row r="95" spans="1:21">
      <c r="A95">
        <v>44</v>
      </c>
      <c r="B95">
        <v>1</v>
      </c>
      <c r="C95">
        <v>0</v>
      </c>
      <c r="D95">
        <v>120</v>
      </c>
      <c r="E95">
        <v>169</v>
      </c>
      <c r="F95">
        <v>0</v>
      </c>
      <c r="G95">
        <v>1</v>
      </c>
      <c r="H95">
        <v>144</v>
      </c>
      <c r="I95">
        <v>1</v>
      </c>
      <c r="J95">
        <v>2.8</v>
      </c>
      <c r="K95">
        <v>0</v>
      </c>
      <c r="L95">
        <v>0</v>
      </c>
      <c r="M95">
        <v>1</v>
      </c>
      <c r="N95">
        <v>0</v>
      </c>
      <c r="O95" t="str">
        <f t="shared" si="6"/>
        <v>Male</v>
      </c>
      <c r="P95" t="str">
        <f t="shared" si="7"/>
        <v>No Disease</v>
      </c>
      <c r="Q95" t="str">
        <f t="shared" si="8"/>
        <v>Typical Angina</v>
      </c>
      <c r="R95" t="str">
        <f t="shared" si="9"/>
        <v>Normal</v>
      </c>
      <c r="S95" t="str">
        <f t="shared" si="10"/>
        <v>Yes</v>
      </c>
      <c r="T95" t="str" cm="1">
        <f t="array" ref="T95">_xlfn.IFS(A94&lt;30,"18-29",A94&lt;40,"30-39",A94&lt;50,"40-49",A94&lt;60,"50-59",A94&gt;=60,"60+")</f>
        <v>60+</v>
      </c>
      <c r="U95" t="str">
        <f t="shared" si="11"/>
        <v>Elevated</v>
      </c>
    </row>
    <row r="96" spans="1:21">
      <c r="A96">
        <v>62</v>
      </c>
      <c r="B96">
        <v>1</v>
      </c>
      <c r="C96">
        <v>1</v>
      </c>
      <c r="D96">
        <v>128</v>
      </c>
      <c r="E96">
        <v>208</v>
      </c>
      <c r="F96">
        <v>1</v>
      </c>
      <c r="G96">
        <v>0</v>
      </c>
      <c r="H96">
        <v>140</v>
      </c>
      <c r="I96">
        <v>0</v>
      </c>
      <c r="J96">
        <v>0</v>
      </c>
      <c r="K96">
        <v>2</v>
      </c>
      <c r="L96">
        <v>0</v>
      </c>
      <c r="M96">
        <v>2</v>
      </c>
      <c r="N96">
        <v>1</v>
      </c>
      <c r="O96" t="str">
        <f t="shared" si="6"/>
        <v>Male</v>
      </c>
      <c r="P96" t="str">
        <f t="shared" si="7"/>
        <v>Heart Disease</v>
      </c>
      <c r="Q96" t="str">
        <f t="shared" si="8"/>
        <v>Atypical Angina</v>
      </c>
      <c r="R96" t="str">
        <f t="shared" si="9"/>
        <v>High</v>
      </c>
      <c r="S96" t="str">
        <f t="shared" si="10"/>
        <v>No</v>
      </c>
      <c r="T96" t="str" cm="1">
        <f t="array" ref="T96">_xlfn.IFS(A95&lt;30,"18-29",A95&lt;40,"30-39",A95&lt;50,"40-49",A95&lt;60,"50-59",A95&gt;=60,"60+")</f>
        <v>40-49</v>
      </c>
      <c r="U96" t="str">
        <f t="shared" si="11"/>
        <v>Elevated</v>
      </c>
    </row>
    <row r="97" spans="1:21">
      <c r="A97">
        <v>45</v>
      </c>
      <c r="B97">
        <v>0</v>
      </c>
      <c r="C97">
        <v>0</v>
      </c>
      <c r="D97">
        <v>138</v>
      </c>
      <c r="E97">
        <v>236</v>
      </c>
      <c r="F97">
        <v>0</v>
      </c>
      <c r="G97">
        <v>0</v>
      </c>
      <c r="H97">
        <v>152</v>
      </c>
      <c r="I97">
        <v>1</v>
      </c>
      <c r="J97">
        <v>0.2</v>
      </c>
      <c r="K97">
        <v>1</v>
      </c>
      <c r="L97">
        <v>0</v>
      </c>
      <c r="M97">
        <v>2</v>
      </c>
      <c r="N97">
        <v>1</v>
      </c>
      <c r="O97" t="str">
        <f t="shared" si="6"/>
        <v>Female</v>
      </c>
      <c r="P97" t="str">
        <f t="shared" si="7"/>
        <v>Heart Disease</v>
      </c>
      <c r="Q97" t="str">
        <f t="shared" si="8"/>
        <v>Typical Angina</v>
      </c>
      <c r="R97" t="str">
        <f t="shared" si="9"/>
        <v>Normal</v>
      </c>
      <c r="S97" t="str">
        <f t="shared" si="10"/>
        <v>Yes</v>
      </c>
      <c r="T97" t="str" cm="1">
        <f t="array" ref="T97">_xlfn.IFS(A96&lt;30,"18-29",A96&lt;40,"30-39",A96&lt;50,"40-49",A96&lt;60,"50-59",A96&gt;=60,"60+")</f>
        <v>60+</v>
      </c>
      <c r="U97" t="str">
        <f t="shared" si="11"/>
        <v>High (Stage 1)</v>
      </c>
    </row>
    <row r="98" spans="1:21">
      <c r="A98">
        <v>57</v>
      </c>
      <c r="B98">
        <v>0</v>
      </c>
      <c r="C98">
        <v>0</v>
      </c>
      <c r="D98">
        <v>128</v>
      </c>
      <c r="E98">
        <v>303</v>
      </c>
      <c r="F98">
        <v>0</v>
      </c>
      <c r="G98">
        <v>0</v>
      </c>
      <c r="H98">
        <v>159</v>
      </c>
      <c r="I98">
        <v>0</v>
      </c>
      <c r="J98">
        <v>0</v>
      </c>
      <c r="K98">
        <v>2</v>
      </c>
      <c r="L98">
        <v>1</v>
      </c>
      <c r="M98">
        <v>2</v>
      </c>
      <c r="N98">
        <v>1</v>
      </c>
      <c r="O98" t="str">
        <f t="shared" si="6"/>
        <v>Female</v>
      </c>
      <c r="P98" t="str">
        <f t="shared" si="7"/>
        <v>Heart Disease</v>
      </c>
      <c r="Q98" t="str">
        <f t="shared" si="8"/>
        <v>Typical Angina</v>
      </c>
      <c r="R98" t="str">
        <f t="shared" si="9"/>
        <v>Normal</v>
      </c>
      <c r="S98" t="str">
        <f t="shared" si="10"/>
        <v>No</v>
      </c>
      <c r="T98" t="str" cm="1">
        <f t="array" ref="T98">_xlfn.IFS(A97&lt;30,"18-29",A97&lt;40,"30-39",A97&lt;50,"40-49",A97&lt;60,"50-59",A97&gt;=60,"60+")</f>
        <v>40-49</v>
      </c>
      <c r="U98" t="str">
        <f t="shared" si="11"/>
        <v>Elevated</v>
      </c>
    </row>
    <row r="99" spans="1:21">
      <c r="A99">
        <v>53</v>
      </c>
      <c r="B99">
        <v>1</v>
      </c>
      <c r="C99">
        <v>0</v>
      </c>
      <c r="D99">
        <v>123</v>
      </c>
      <c r="E99">
        <v>282</v>
      </c>
      <c r="F99">
        <v>0</v>
      </c>
      <c r="G99">
        <v>1</v>
      </c>
      <c r="H99">
        <v>95</v>
      </c>
      <c r="I99">
        <v>1</v>
      </c>
      <c r="J99">
        <v>2</v>
      </c>
      <c r="K99">
        <v>1</v>
      </c>
      <c r="L99">
        <v>2</v>
      </c>
      <c r="M99">
        <v>3</v>
      </c>
      <c r="N99">
        <v>0</v>
      </c>
      <c r="O99" t="str">
        <f t="shared" si="6"/>
        <v>Male</v>
      </c>
      <c r="P99" t="str">
        <f t="shared" si="7"/>
        <v>No Disease</v>
      </c>
      <c r="Q99" t="str">
        <f t="shared" si="8"/>
        <v>Typical Angina</v>
      </c>
      <c r="R99" t="str">
        <f t="shared" si="9"/>
        <v>Normal</v>
      </c>
      <c r="S99" t="str">
        <f t="shared" si="10"/>
        <v>Yes</v>
      </c>
      <c r="T99" t="str" cm="1">
        <f t="array" ref="T99">_xlfn.IFS(A98&lt;30,"18-29",A98&lt;40,"30-39",A98&lt;50,"40-49",A98&lt;60,"50-59",A98&gt;=60,"60+")</f>
        <v>50-59</v>
      </c>
      <c r="U99" t="str">
        <f t="shared" si="11"/>
        <v>Elevated</v>
      </c>
    </row>
    <row r="100" spans="1:21">
      <c r="A100">
        <v>65</v>
      </c>
      <c r="B100">
        <v>1</v>
      </c>
      <c r="C100">
        <v>0</v>
      </c>
      <c r="D100">
        <v>110</v>
      </c>
      <c r="E100">
        <v>248</v>
      </c>
      <c r="F100">
        <v>0</v>
      </c>
      <c r="G100">
        <v>0</v>
      </c>
      <c r="H100">
        <v>158</v>
      </c>
      <c r="I100">
        <v>0</v>
      </c>
      <c r="J100">
        <v>0.6</v>
      </c>
      <c r="K100">
        <v>2</v>
      </c>
      <c r="L100">
        <v>2</v>
      </c>
      <c r="M100">
        <v>1</v>
      </c>
      <c r="N100">
        <v>0</v>
      </c>
      <c r="O100" t="str">
        <f t="shared" si="6"/>
        <v>Male</v>
      </c>
      <c r="P100" t="str">
        <f t="shared" si="7"/>
        <v>No Disease</v>
      </c>
      <c r="Q100" t="str">
        <f t="shared" si="8"/>
        <v>Typical Angina</v>
      </c>
      <c r="R100" t="str">
        <f t="shared" si="9"/>
        <v>Normal</v>
      </c>
      <c r="S100" t="str">
        <f t="shared" si="10"/>
        <v>No</v>
      </c>
      <c r="T100" t="str" cm="1">
        <f t="array" ref="T100">_xlfn.IFS(A99&lt;30,"18-29",A99&lt;40,"30-39",A99&lt;50,"40-49",A99&lt;60,"50-59",A99&gt;=60,"60+")</f>
        <v>50-59</v>
      </c>
      <c r="U100" t="str">
        <f t="shared" si="11"/>
        <v>Normal</v>
      </c>
    </row>
    <row r="101" spans="1:21">
      <c r="A101">
        <v>76</v>
      </c>
      <c r="B101">
        <v>0</v>
      </c>
      <c r="C101">
        <v>2</v>
      </c>
      <c r="D101">
        <v>140</v>
      </c>
      <c r="E101">
        <v>197</v>
      </c>
      <c r="F101">
        <v>0</v>
      </c>
      <c r="G101">
        <v>2</v>
      </c>
      <c r="H101">
        <v>116</v>
      </c>
      <c r="I101">
        <v>0</v>
      </c>
      <c r="J101">
        <v>1.1000000000000001</v>
      </c>
      <c r="K101">
        <v>1</v>
      </c>
      <c r="L101">
        <v>0</v>
      </c>
      <c r="M101">
        <v>2</v>
      </c>
      <c r="N101">
        <v>1</v>
      </c>
      <c r="O101" t="str">
        <f t="shared" si="6"/>
        <v>Female</v>
      </c>
      <c r="P101" t="str">
        <f t="shared" si="7"/>
        <v>Heart Disease</v>
      </c>
      <c r="Q101" t="str">
        <f t="shared" si="8"/>
        <v>Non-Anginal Pain</v>
      </c>
      <c r="R101" t="str">
        <f t="shared" si="9"/>
        <v>Normal</v>
      </c>
      <c r="S101" t="str">
        <f t="shared" si="10"/>
        <v>No</v>
      </c>
      <c r="T101" t="str" cm="1">
        <f t="array" ref="T101">_xlfn.IFS(A100&lt;30,"18-29",A100&lt;40,"30-39",A100&lt;50,"40-49",A100&lt;60,"50-59",A100&gt;=60,"60+")</f>
        <v>60+</v>
      </c>
      <c r="U101" t="str">
        <f t="shared" si="11"/>
        <v>High (Stage 2)</v>
      </c>
    </row>
    <row r="102" spans="1:21">
      <c r="A102">
        <v>43</v>
      </c>
      <c r="B102">
        <v>0</v>
      </c>
      <c r="C102">
        <v>2</v>
      </c>
      <c r="D102">
        <v>122</v>
      </c>
      <c r="E102">
        <v>213</v>
      </c>
      <c r="F102">
        <v>0</v>
      </c>
      <c r="G102">
        <v>1</v>
      </c>
      <c r="H102">
        <v>165</v>
      </c>
      <c r="I102">
        <v>0</v>
      </c>
      <c r="J102">
        <v>0.2</v>
      </c>
      <c r="K102">
        <v>1</v>
      </c>
      <c r="L102">
        <v>0</v>
      </c>
      <c r="M102">
        <v>2</v>
      </c>
      <c r="N102">
        <v>1</v>
      </c>
      <c r="O102" t="str">
        <f t="shared" si="6"/>
        <v>Female</v>
      </c>
      <c r="P102" t="str">
        <f t="shared" si="7"/>
        <v>Heart Disease</v>
      </c>
      <c r="Q102" t="str">
        <f t="shared" si="8"/>
        <v>Non-Anginal Pain</v>
      </c>
      <c r="R102" t="str">
        <f t="shared" si="9"/>
        <v>Normal</v>
      </c>
      <c r="S102" t="str">
        <f t="shared" si="10"/>
        <v>No</v>
      </c>
      <c r="T102" t="str" cm="1">
        <f t="array" ref="T102">_xlfn.IFS(A101&lt;30,"18-29",A101&lt;40,"30-39",A101&lt;50,"40-49",A101&lt;60,"50-59",A101&gt;=60,"60+")</f>
        <v>60+</v>
      </c>
      <c r="U102" t="str">
        <f t="shared" si="11"/>
        <v>Elevated</v>
      </c>
    </row>
    <row r="103" spans="1:21">
      <c r="A103">
        <v>57</v>
      </c>
      <c r="B103">
        <v>1</v>
      </c>
      <c r="C103">
        <v>2</v>
      </c>
      <c r="D103">
        <v>150</v>
      </c>
      <c r="E103">
        <v>126</v>
      </c>
      <c r="F103">
        <v>1</v>
      </c>
      <c r="G103">
        <v>1</v>
      </c>
      <c r="H103">
        <v>173</v>
      </c>
      <c r="I103">
        <v>0</v>
      </c>
      <c r="J103">
        <v>0.2</v>
      </c>
      <c r="K103">
        <v>2</v>
      </c>
      <c r="L103">
        <v>1</v>
      </c>
      <c r="M103">
        <v>3</v>
      </c>
      <c r="N103">
        <v>1</v>
      </c>
      <c r="O103" t="str">
        <f t="shared" si="6"/>
        <v>Male</v>
      </c>
      <c r="P103" t="str">
        <f t="shared" si="7"/>
        <v>Heart Disease</v>
      </c>
      <c r="Q103" t="str">
        <f t="shared" si="8"/>
        <v>Non-Anginal Pain</v>
      </c>
      <c r="R103" t="str">
        <f t="shared" si="9"/>
        <v>High</v>
      </c>
      <c r="S103" t="str">
        <f t="shared" si="10"/>
        <v>No</v>
      </c>
      <c r="T103" t="str" cm="1">
        <f t="array" ref="T103">_xlfn.IFS(A102&lt;30,"18-29",A102&lt;40,"30-39",A102&lt;50,"40-49",A102&lt;60,"50-59",A102&gt;=60,"60+")</f>
        <v>40-49</v>
      </c>
      <c r="U103" t="str">
        <f t="shared" si="11"/>
        <v>High (Stage 2)</v>
      </c>
    </row>
    <row r="104" spans="1:21">
      <c r="A104">
        <v>54</v>
      </c>
      <c r="B104">
        <v>1</v>
      </c>
      <c r="C104">
        <v>1</v>
      </c>
      <c r="D104">
        <v>108</v>
      </c>
      <c r="E104">
        <v>309</v>
      </c>
      <c r="F104">
        <v>0</v>
      </c>
      <c r="G104">
        <v>1</v>
      </c>
      <c r="H104">
        <v>156</v>
      </c>
      <c r="I104">
        <v>0</v>
      </c>
      <c r="J104">
        <v>0</v>
      </c>
      <c r="K104">
        <v>2</v>
      </c>
      <c r="L104">
        <v>0</v>
      </c>
      <c r="M104">
        <v>3</v>
      </c>
      <c r="N104">
        <v>1</v>
      </c>
      <c r="O104" t="str">
        <f t="shared" si="6"/>
        <v>Male</v>
      </c>
      <c r="P104" t="str">
        <f t="shared" si="7"/>
        <v>Heart Disease</v>
      </c>
      <c r="Q104" t="str">
        <f t="shared" si="8"/>
        <v>Atypical Angina</v>
      </c>
      <c r="R104" t="str">
        <f t="shared" si="9"/>
        <v>Normal</v>
      </c>
      <c r="S104" t="str">
        <f t="shared" si="10"/>
        <v>No</v>
      </c>
      <c r="T104" t="str" cm="1">
        <f t="array" ref="T104">_xlfn.IFS(A103&lt;30,"18-29",A103&lt;40,"30-39",A103&lt;50,"40-49",A103&lt;60,"50-59",A103&gt;=60,"60+")</f>
        <v>50-59</v>
      </c>
      <c r="U104" t="str">
        <f t="shared" si="11"/>
        <v>Normal</v>
      </c>
    </row>
    <row r="105" spans="1:21">
      <c r="A105">
        <v>47</v>
      </c>
      <c r="B105">
        <v>1</v>
      </c>
      <c r="C105">
        <v>2</v>
      </c>
      <c r="D105">
        <v>138</v>
      </c>
      <c r="E105">
        <v>257</v>
      </c>
      <c r="F105">
        <v>0</v>
      </c>
      <c r="G105">
        <v>0</v>
      </c>
      <c r="H105">
        <v>156</v>
      </c>
      <c r="I105">
        <v>0</v>
      </c>
      <c r="J105">
        <v>0</v>
      </c>
      <c r="K105">
        <v>2</v>
      </c>
      <c r="L105">
        <v>0</v>
      </c>
      <c r="M105">
        <v>2</v>
      </c>
      <c r="N105">
        <v>1</v>
      </c>
      <c r="O105" t="str">
        <f t="shared" si="6"/>
        <v>Male</v>
      </c>
      <c r="P105" t="str">
        <f t="shared" si="7"/>
        <v>Heart Disease</v>
      </c>
      <c r="Q105" t="str">
        <f t="shared" si="8"/>
        <v>Non-Anginal Pain</v>
      </c>
      <c r="R105" t="str">
        <f t="shared" si="9"/>
        <v>Normal</v>
      </c>
      <c r="S105" t="str">
        <f t="shared" si="10"/>
        <v>No</v>
      </c>
      <c r="T105" t="str" cm="1">
        <f t="array" ref="T105">_xlfn.IFS(A104&lt;30,"18-29",A104&lt;40,"30-39",A104&lt;50,"40-49",A104&lt;60,"50-59",A104&gt;=60,"60+")</f>
        <v>50-59</v>
      </c>
      <c r="U105" t="str">
        <f t="shared" si="11"/>
        <v>High (Stage 1)</v>
      </c>
    </row>
    <row r="106" spans="1:21">
      <c r="A106">
        <v>52</v>
      </c>
      <c r="B106">
        <v>1</v>
      </c>
      <c r="C106">
        <v>3</v>
      </c>
      <c r="D106">
        <v>118</v>
      </c>
      <c r="E106">
        <v>186</v>
      </c>
      <c r="F106">
        <v>0</v>
      </c>
      <c r="G106">
        <v>0</v>
      </c>
      <c r="H106">
        <v>190</v>
      </c>
      <c r="I106">
        <v>0</v>
      </c>
      <c r="J106">
        <v>0</v>
      </c>
      <c r="K106">
        <v>1</v>
      </c>
      <c r="L106">
        <v>0</v>
      </c>
      <c r="M106">
        <v>1</v>
      </c>
      <c r="N106">
        <v>1</v>
      </c>
      <c r="O106" t="str">
        <f t="shared" si="6"/>
        <v>Male</v>
      </c>
      <c r="P106" t="str">
        <f t="shared" si="7"/>
        <v>Heart Disease</v>
      </c>
      <c r="Q106" t="str">
        <f t="shared" si="8"/>
        <v>Asymptomatic</v>
      </c>
      <c r="R106" t="str">
        <f t="shared" si="9"/>
        <v>Normal</v>
      </c>
      <c r="S106" t="str">
        <f t="shared" si="10"/>
        <v>No</v>
      </c>
      <c r="T106" t="str" cm="1">
        <f t="array" ref="T106">_xlfn.IFS(A105&lt;30,"18-29",A105&lt;40,"30-39",A105&lt;50,"40-49",A105&lt;60,"50-59",A105&gt;=60,"60+")</f>
        <v>40-49</v>
      </c>
      <c r="U106" t="str">
        <f t="shared" si="11"/>
        <v>Normal</v>
      </c>
    </row>
    <row r="107" spans="1:21">
      <c r="A107">
        <v>47</v>
      </c>
      <c r="B107">
        <v>1</v>
      </c>
      <c r="C107">
        <v>0</v>
      </c>
      <c r="D107">
        <v>110</v>
      </c>
      <c r="E107">
        <v>275</v>
      </c>
      <c r="F107">
        <v>0</v>
      </c>
      <c r="G107">
        <v>0</v>
      </c>
      <c r="H107">
        <v>118</v>
      </c>
      <c r="I107">
        <v>1</v>
      </c>
      <c r="J107">
        <v>1</v>
      </c>
      <c r="K107">
        <v>1</v>
      </c>
      <c r="L107">
        <v>1</v>
      </c>
      <c r="M107">
        <v>2</v>
      </c>
      <c r="N107">
        <v>0</v>
      </c>
      <c r="O107" t="str">
        <f t="shared" si="6"/>
        <v>Male</v>
      </c>
      <c r="P107" t="str">
        <f t="shared" si="7"/>
        <v>No Disease</v>
      </c>
      <c r="Q107" t="str">
        <f t="shared" si="8"/>
        <v>Typical Angina</v>
      </c>
      <c r="R107" t="str">
        <f t="shared" si="9"/>
        <v>Normal</v>
      </c>
      <c r="S107" t="str">
        <f t="shared" si="10"/>
        <v>Yes</v>
      </c>
      <c r="T107" t="str" cm="1">
        <f t="array" ref="T107">_xlfn.IFS(A106&lt;30,"18-29",A106&lt;40,"30-39",A106&lt;50,"40-49",A106&lt;60,"50-59",A106&gt;=60,"60+")</f>
        <v>50-59</v>
      </c>
      <c r="U107" t="str">
        <f t="shared" si="11"/>
        <v>Normal</v>
      </c>
    </row>
    <row r="108" spans="1:21">
      <c r="A108">
        <v>51</v>
      </c>
      <c r="B108">
        <v>1</v>
      </c>
      <c r="C108">
        <v>0</v>
      </c>
      <c r="D108">
        <v>140</v>
      </c>
      <c r="E108">
        <v>299</v>
      </c>
      <c r="F108">
        <v>0</v>
      </c>
      <c r="G108">
        <v>1</v>
      </c>
      <c r="H108">
        <v>173</v>
      </c>
      <c r="I108">
        <v>1</v>
      </c>
      <c r="J108">
        <v>1.6</v>
      </c>
      <c r="K108">
        <v>2</v>
      </c>
      <c r="L108">
        <v>0</v>
      </c>
      <c r="M108">
        <v>3</v>
      </c>
      <c r="N108">
        <v>0</v>
      </c>
      <c r="O108" t="str">
        <f t="shared" si="6"/>
        <v>Male</v>
      </c>
      <c r="P108" t="str">
        <f t="shared" si="7"/>
        <v>No Disease</v>
      </c>
      <c r="Q108" t="str">
        <f t="shared" si="8"/>
        <v>Typical Angina</v>
      </c>
      <c r="R108" t="str">
        <f t="shared" si="9"/>
        <v>Normal</v>
      </c>
      <c r="S108" t="str">
        <f t="shared" si="10"/>
        <v>Yes</v>
      </c>
      <c r="T108" t="str" cm="1">
        <f t="array" ref="T108">_xlfn.IFS(A107&lt;30,"18-29",A107&lt;40,"30-39",A107&lt;50,"40-49",A107&lt;60,"50-59",A107&gt;=60,"60+")</f>
        <v>40-49</v>
      </c>
      <c r="U108" t="str">
        <f t="shared" si="11"/>
        <v>High (Stage 2)</v>
      </c>
    </row>
    <row r="109" spans="1:21">
      <c r="A109">
        <v>62</v>
      </c>
      <c r="B109">
        <v>1</v>
      </c>
      <c r="C109">
        <v>1</v>
      </c>
      <c r="D109">
        <v>120</v>
      </c>
      <c r="E109">
        <v>281</v>
      </c>
      <c r="F109">
        <v>0</v>
      </c>
      <c r="G109">
        <v>0</v>
      </c>
      <c r="H109">
        <v>103</v>
      </c>
      <c r="I109">
        <v>0</v>
      </c>
      <c r="J109">
        <v>1.4</v>
      </c>
      <c r="K109">
        <v>1</v>
      </c>
      <c r="L109">
        <v>1</v>
      </c>
      <c r="M109">
        <v>3</v>
      </c>
      <c r="N109">
        <v>0</v>
      </c>
      <c r="O109" t="str">
        <f t="shared" si="6"/>
        <v>Male</v>
      </c>
      <c r="P109" t="str">
        <f t="shared" si="7"/>
        <v>No Disease</v>
      </c>
      <c r="Q109" t="str">
        <f t="shared" si="8"/>
        <v>Atypical Angina</v>
      </c>
      <c r="R109" t="str">
        <f t="shared" si="9"/>
        <v>Normal</v>
      </c>
      <c r="S109" t="str">
        <f t="shared" si="10"/>
        <v>No</v>
      </c>
      <c r="T109" t="str" cm="1">
        <f t="array" ref="T109">_xlfn.IFS(A108&lt;30,"18-29",A108&lt;40,"30-39",A108&lt;50,"40-49",A108&lt;60,"50-59",A108&gt;=60,"60+")</f>
        <v>50-59</v>
      </c>
      <c r="U109" t="str">
        <f t="shared" si="11"/>
        <v>Elevated</v>
      </c>
    </row>
    <row r="110" spans="1:21">
      <c r="A110">
        <v>40</v>
      </c>
      <c r="B110">
        <v>1</v>
      </c>
      <c r="C110">
        <v>0</v>
      </c>
      <c r="D110">
        <v>152</v>
      </c>
      <c r="E110">
        <v>223</v>
      </c>
      <c r="F110">
        <v>0</v>
      </c>
      <c r="G110">
        <v>1</v>
      </c>
      <c r="H110">
        <v>181</v>
      </c>
      <c r="I110">
        <v>0</v>
      </c>
      <c r="J110">
        <v>0</v>
      </c>
      <c r="K110">
        <v>2</v>
      </c>
      <c r="L110">
        <v>0</v>
      </c>
      <c r="M110">
        <v>3</v>
      </c>
      <c r="N110">
        <v>0</v>
      </c>
      <c r="O110" t="str">
        <f t="shared" si="6"/>
        <v>Male</v>
      </c>
      <c r="P110" t="str">
        <f t="shared" si="7"/>
        <v>No Disease</v>
      </c>
      <c r="Q110" t="str">
        <f t="shared" si="8"/>
        <v>Typical Angina</v>
      </c>
      <c r="R110" t="str">
        <f t="shared" si="9"/>
        <v>Normal</v>
      </c>
      <c r="S110" t="str">
        <f t="shared" si="10"/>
        <v>No</v>
      </c>
      <c r="T110" t="str" cm="1">
        <f t="array" ref="T110">_xlfn.IFS(A109&lt;30,"18-29",A109&lt;40,"30-39",A109&lt;50,"40-49",A109&lt;60,"50-59",A109&gt;=60,"60+")</f>
        <v>60+</v>
      </c>
      <c r="U110" t="str">
        <f t="shared" si="11"/>
        <v>High (Stage 2)</v>
      </c>
    </row>
    <row r="111" spans="1:21">
      <c r="A111">
        <v>54</v>
      </c>
      <c r="B111">
        <v>1</v>
      </c>
      <c r="C111">
        <v>0</v>
      </c>
      <c r="D111">
        <v>110</v>
      </c>
      <c r="E111">
        <v>206</v>
      </c>
      <c r="F111">
        <v>0</v>
      </c>
      <c r="G111">
        <v>0</v>
      </c>
      <c r="H111">
        <v>108</v>
      </c>
      <c r="I111">
        <v>1</v>
      </c>
      <c r="J111">
        <v>0</v>
      </c>
      <c r="K111">
        <v>1</v>
      </c>
      <c r="L111">
        <v>1</v>
      </c>
      <c r="M111">
        <v>2</v>
      </c>
      <c r="N111">
        <v>0</v>
      </c>
      <c r="O111" t="str">
        <f t="shared" si="6"/>
        <v>Male</v>
      </c>
      <c r="P111" t="str">
        <f t="shared" si="7"/>
        <v>No Disease</v>
      </c>
      <c r="Q111" t="str">
        <f t="shared" si="8"/>
        <v>Typical Angina</v>
      </c>
      <c r="R111" t="str">
        <f t="shared" si="9"/>
        <v>Normal</v>
      </c>
      <c r="S111" t="str">
        <f t="shared" si="10"/>
        <v>Yes</v>
      </c>
      <c r="T111" t="str" cm="1">
        <f t="array" ref="T111">_xlfn.IFS(A110&lt;30,"18-29",A110&lt;40,"30-39",A110&lt;50,"40-49",A110&lt;60,"50-59",A110&gt;=60,"60+")</f>
        <v>40-49</v>
      </c>
      <c r="U111" t="str">
        <f t="shared" si="11"/>
        <v>Normal</v>
      </c>
    </row>
    <row r="112" spans="1:21">
      <c r="A112">
        <v>44</v>
      </c>
      <c r="B112">
        <v>1</v>
      </c>
      <c r="C112">
        <v>0</v>
      </c>
      <c r="D112">
        <v>110</v>
      </c>
      <c r="E112">
        <v>197</v>
      </c>
      <c r="F112">
        <v>0</v>
      </c>
      <c r="G112">
        <v>0</v>
      </c>
      <c r="H112">
        <v>177</v>
      </c>
      <c r="I112">
        <v>0</v>
      </c>
      <c r="J112">
        <v>0</v>
      </c>
      <c r="K112">
        <v>2</v>
      </c>
      <c r="L112">
        <v>1</v>
      </c>
      <c r="M112">
        <v>2</v>
      </c>
      <c r="N112">
        <v>0</v>
      </c>
      <c r="O112" t="str">
        <f t="shared" si="6"/>
        <v>Male</v>
      </c>
      <c r="P112" t="str">
        <f t="shared" si="7"/>
        <v>No Disease</v>
      </c>
      <c r="Q112" t="str">
        <f t="shared" si="8"/>
        <v>Typical Angina</v>
      </c>
      <c r="R112" t="str">
        <f t="shared" si="9"/>
        <v>Normal</v>
      </c>
      <c r="S112" t="str">
        <f t="shared" si="10"/>
        <v>No</v>
      </c>
      <c r="T112" t="str" cm="1">
        <f t="array" ref="T112">_xlfn.IFS(A111&lt;30,"18-29",A111&lt;40,"30-39",A111&lt;50,"40-49",A111&lt;60,"50-59",A111&gt;=60,"60+")</f>
        <v>50-59</v>
      </c>
      <c r="U112" t="str">
        <f t="shared" si="11"/>
        <v>Normal</v>
      </c>
    </row>
    <row r="113" spans="1:21">
      <c r="A113">
        <v>53</v>
      </c>
      <c r="B113">
        <v>1</v>
      </c>
      <c r="C113">
        <v>0</v>
      </c>
      <c r="D113">
        <v>142</v>
      </c>
      <c r="E113">
        <v>226</v>
      </c>
      <c r="F113">
        <v>0</v>
      </c>
      <c r="G113">
        <v>0</v>
      </c>
      <c r="H113">
        <v>111</v>
      </c>
      <c r="I113">
        <v>1</v>
      </c>
      <c r="J113">
        <v>0</v>
      </c>
      <c r="K113">
        <v>2</v>
      </c>
      <c r="L113">
        <v>0</v>
      </c>
      <c r="M113">
        <v>3</v>
      </c>
      <c r="N113">
        <v>1</v>
      </c>
      <c r="O113" t="str">
        <f t="shared" si="6"/>
        <v>Male</v>
      </c>
      <c r="P113" t="str">
        <f t="shared" si="7"/>
        <v>Heart Disease</v>
      </c>
      <c r="Q113" t="str">
        <f t="shared" si="8"/>
        <v>Typical Angina</v>
      </c>
      <c r="R113" t="str">
        <f t="shared" si="9"/>
        <v>Normal</v>
      </c>
      <c r="S113" t="str">
        <f t="shared" si="10"/>
        <v>Yes</v>
      </c>
      <c r="T113" t="str" cm="1">
        <f t="array" ref="T113">_xlfn.IFS(A112&lt;30,"18-29",A112&lt;40,"30-39",A112&lt;50,"40-49",A112&lt;60,"50-59",A112&gt;=60,"60+")</f>
        <v>40-49</v>
      </c>
      <c r="U113" t="str">
        <f t="shared" si="11"/>
        <v>High (Stage 2)</v>
      </c>
    </row>
    <row r="114" spans="1:21">
      <c r="A114">
        <v>48</v>
      </c>
      <c r="B114">
        <v>1</v>
      </c>
      <c r="C114">
        <v>0</v>
      </c>
      <c r="D114">
        <v>130</v>
      </c>
      <c r="E114">
        <v>256</v>
      </c>
      <c r="F114">
        <v>1</v>
      </c>
      <c r="G114">
        <v>0</v>
      </c>
      <c r="H114">
        <v>150</v>
      </c>
      <c r="I114">
        <v>1</v>
      </c>
      <c r="J114">
        <v>0</v>
      </c>
      <c r="K114">
        <v>2</v>
      </c>
      <c r="L114">
        <v>2</v>
      </c>
      <c r="M114">
        <v>3</v>
      </c>
      <c r="N114">
        <v>0</v>
      </c>
      <c r="O114" t="str">
        <f t="shared" si="6"/>
        <v>Male</v>
      </c>
      <c r="P114" t="str">
        <f t="shared" si="7"/>
        <v>No Disease</v>
      </c>
      <c r="Q114" t="str">
        <f t="shared" si="8"/>
        <v>Typical Angina</v>
      </c>
      <c r="R114" t="str">
        <f t="shared" si="9"/>
        <v>High</v>
      </c>
      <c r="S114" t="str">
        <f t="shared" si="10"/>
        <v>Yes</v>
      </c>
      <c r="T114" t="str" cm="1">
        <f t="array" ref="T114">_xlfn.IFS(A113&lt;30,"18-29",A113&lt;40,"30-39",A113&lt;50,"40-49",A113&lt;60,"50-59",A113&gt;=60,"60+")</f>
        <v>50-59</v>
      </c>
      <c r="U114" t="str">
        <f t="shared" si="11"/>
        <v>High (Stage 1)</v>
      </c>
    </row>
    <row r="115" spans="1:21">
      <c r="A115">
        <v>57</v>
      </c>
      <c r="B115">
        <v>1</v>
      </c>
      <c r="C115">
        <v>0</v>
      </c>
      <c r="D115">
        <v>110</v>
      </c>
      <c r="E115">
        <v>335</v>
      </c>
      <c r="F115">
        <v>0</v>
      </c>
      <c r="G115">
        <v>1</v>
      </c>
      <c r="H115">
        <v>143</v>
      </c>
      <c r="I115">
        <v>1</v>
      </c>
      <c r="J115">
        <v>3</v>
      </c>
      <c r="K115">
        <v>1</v>
      </c>
      <c r="L115">
        <v>1</v>
      </c>
      <c r="M115">
        <v>3</v>
      </c>
      <c r="N115">
        <v>0</v>
      </c>
      <c r="O115" t="str">
        <f t="shared" si="6"/>
        <v>Male</v>
      </c>
      <c r="P115" t="str">
        <f t="shared" si="7"/>
        <v>No Disease</v>
      </c>
      <c r="Q115" t="str">
        <f t="shared" si="8"/>
        <v>Typical Angina</v>
      </c>
      <c r="R115" t="str">
        <f t="shared" si="9"/>
        <v>Normal</v>
      </c>
      <c r="S115" t="str">
        <f t="shared" si="10"/>
        <v>Yes</v>
      </c>
      <c r="T115" t="str" cm="1">
        <f t="array" ref="T115">_xlfn.IFS(A114&lt;30,"18-29",A114&lt;40,"30-39",A114&lt;50,"40-49",A114&lt;60,"50-59",A114&gt;=60,"60+")</f>
        <v>40-49</v>
      </c>
      <c r="U115" t="str">
        <f t="shared" si="11"/>
        <v>Normal</v>
      </c>
    </row>
    <row r="116" spans="1:21">
      <c r="A116">
        <v>59</v>
      </c>
      <c r="B116">
        <v>1</v>
      </c>
      <c r="C116">
        <v>2</v>
      </c>
      <c r="D116">
        <v>126</v>
      </c>
      <c r="E116">
        <v>218</v>
      </c>
      <c r="F116">
        <v>1</v>
      </c>
      <c r="G116">
        <v>1</v>
      </c>
      <c r="H116">
        <v>134</v>
      </c>
      <c r="I116">
        <v>0</v>
      </c>
      <c r="J116">
        <v>2.2000000000000002</v>
      </c>
      <c r="K116">
        <v>1</v>
      </c>
      <c r="L116">
        <v>1</v>
      </c>
      <c r="M116">
        <v>1</v>
      </c>
      <c r="N116">
        <v>0</v>
      </c>
      <c r="O116" t="str">
        <f t="shared" si="6"/>
        <v>Male</v>
      </c>
      <c r="P116" t="str">
        <f t="shared" si="7"/>
        <v>No Disease</v>
      </c>
      <c r="Q116" t="str">
        <f t="shared" si="8"/>
        <v>Non-Anginal Pain</v>
      </c>
      <c r="R116" t="str">
        <f t="shared" si="9"/>
        <v>High</v>
      </c>
      <c r="S116" t="str">
        <f t="shared" si="10"/>
        <v>No</v>
      </c>
      <c r="T116" t="str" cm="1">
        <f t="array" ref="T116">_xlfn.IFS(A115&lt;30,"18-29",A115&lt;40,"30-39",A115&lt;50,"40-49",A115&lt;60,"50-59",A115&gt;=60,"60+")</f>
        <v>50-59</v>
      </c>
      <c r="U116" t="str">
        <f t="shared" si="11"/>
        <v>Elevated</v>
      </c>
    </row>
    <row r="117" spans="1:21">
      <c r="A117">
        <v>61</v>
      </c>
      <c r="B117">
        <v>0</v>
      </c>
      <c r="C117">
        <v>0</v>
      </c>
      <c r="D117">
        <v>145</v>
      </c>
      <c r="E117">
        <v>307</v>
      </c>
      <c r="F117">
        <v>0</v>
      </c>
      <c r="G117">
        <v>0</v>
      </c>
      <c r="H117">
        <v>146</v>
      </c>
      <c r="I117">
        <v>1</v>
      </c>
      <c r="J117">
        <v>1</v>
      </c>
      <c r="K117">
        <v>1</v>
      </c>
      <c r="L117">
        <v>0</v>
      </c>
      <c r="M117">
        <v>3</v>
      </c>
      <c r="N117">
        <v>0</v>
      </c>
      <c r="O117" t="str">
        <f t="shared" si="6"/>
        <v>Female</v>
      </c>
      <c r="P117" t="str">
        <f t="shared" si="7"/>
        <v>No Disease</v>
      </c>
      <c r="Q117" t="str">
        <f t="shared" si="8"/>
        <v>Typical Angina</v>
      </c>
      <c r="R117" t="str">
        <f t="shared" si="9"/>
        <v>Normal</v>
      </c>
      <c r="S117" t="str">
        <f t="shared" si="10"/>
        <v>Yes</v>
      </c>
      <c r="T117" t="str" cm="1">
        <f t="array" ref="T117">_xlfn.IFS(A116&lt;30,"18-29",A116&lt;40,"30-39",A116&lt;50,"40-49",A116&lt;60,"50-59",A116&gt;=60,"60+")</f>
        <v>50-59</v>
      </c>
      <c r="U117" t="str">
        <f t="shared" si="11"/>
        <v>High (Stage 2)</v>
      </c>
    </row>
    <row r="118" spans="1:21">
      <c r="A118">
        <v>63</v>
      </c>
      <c r="B118">
        <v>1</v>
      </c>
      <c r="C118">
        <v>0</v>
      </c>
      <c r="D118">
        <v>130</v>
      </c>
      <c r="E118">
        <v>254</v>
      </c>
      <c r="F118">
        <v>0</v>
      </c>
      <c r="G118">
        <v>0</v>
      </c>
      <c r="H118">
        <v>147</v>
      </c>
      <c r="I118">
        <v>0</v>
      </c>
      <c r="J118">
        <v>1.4</v>
      </c>
      <c r="K118">
        <v>1</v>
      </c>
      <c r="L118">
        <v>1</v>
      </c>
      <c r="M118">
        <v>3</v>
      </c>
      <c r="N118">
        <v>0</v>
      </c>
      <c r="O118" t="str">
        <f t="shared" si="6"/>
        <v>Male</v>
      </c>
      <c r="P118" t="str">
        <f t="shared" si="7"/>
        <v>No Disease</v>
      </c>
      <c r="Q118" t="str">
        <f t="shared" si="8"/>
        <v>Typical Angina</v>
      </c>
      <c r="R118" t="str">
        <f t="shared" si="9"/>
        <v>Normal</v>
      </c>
      <c r="S118" t="str">
        <f t="shared" si="10"/>
        <v>No</v>
      </c>
      <c r="T118" t="str" cm="1">
        <f t="array" ref="T118">_xlfn.IFS(A117&lt;30,"18-29",A117&lt;40,"30-39",A117&lt;50,"40-49",A117&lt;60,"50-59",A117&gt;=60,"60+")</f>
        <v>60+</v>
      </c>
      <c r="U118" t="str">
        <f t="shared" si="11"/>
        <v>High (Stage 1)</v>
      </c>
    </row>
    <row r="119" spans="1:21">
      <c r="A119">
        <v>43</v>
      </c>
      <c r="B119">
        <v>1</v>
      </c>
      <c r="C119">
        <v>0</v>
      </c>
      <c r="D119">
        <v>120</v>
      </c>
      <c r="E119">
        <v>177</v>
      </c>
      <c r="F119">
        <v>0</v>
      </c>
      <c r="G119">
        <v>0</v>
      </c>
      <c r="H119">
        <v>120</v>
      </c>
      <c r="I119">
        <v>1</v>
      </c>
      <c r="J119">
        <v>2.5</v>
      </c>
      <c r="K119">
        <v>1</v>
      </c>
      <c r="L119">
        <v>0</v>
      </c>
      <c r="M119">
        <v>3</v>
      </c>
      <c r="N119">
        <v>0</v>
      </c>
      <c r="O119" t="str">
        <f t="shared" si="6"/>
        <v>Male</v>
      </c>
      <c r="P119" t="str">
        <f t="shared" si="7"/>
        <v>No Disease</v>
      </c>
      <c r="Q119" t="str">
        <f t="shared" si="8"/>
        <v>Typical Angina</v>
      </c>
      <c r="R119" t="str">
        <f t="shared" si="9"/>
        <v>Normal</v>
      </c>
      <c r="S119" t="str">
        <f t="shared" si="10"/>
        <v>Yes</v>
      </c>
      <c r="T119" t="str" cm="1">
        <f t="array" ref="T119">_xlfn.IFS(A118&lt;30,"18-29",A118&lt;40,"30-39",A118&lt;50,"40-49",A118&lt;60,"50-59",A118&gt;=60,"60+")</f>
        <v>60+</v>
      </c>
      <c r="U119" t="str">
        <f t="shared" si="11"/>
        <v>Elevated</v>
      </c>
    </row>
    <row r="120" spans="1:21">
      <c r="A120">
        <v>29</v>
      </c>
      <c r="B120">
        <v>1</v>
      </c>
      <c r="C120">
        <v>1</v>
      </c>
      <c r="D120">
        <v>130</v>
      </c>
      <c r="E120">
        <v>204</v>
      </c>
      <c r="F120">
        <v>0</v>
      </c>
      <c r="G120">
        <v>0</v>
      </c>
      <c r="H120">
        <v>202</v>
      </c>
      <c r="I120">
        <v>0</v>
      </c>
      <c r="J120">
        <v>0</v>
      </c>
      <c r="K120">
        <v>2</v>
      </c>
      <c r="L120">
        <v>0</v>
      </c>
      <c r="M120">
        <v>2</v>
      </c>
      <c r="N120">
        <v>1</v>
      </c>
      <c r="O120" t="str">
        <f t="shared" si="6"/>
        <v>Male</v>
      </c>
      <c r="P120" t="str">
        <f t="shared" si="7"/>
        <v>Heart Disease</v>
      </c>
      <c r="Q120" t="str">
        <f t="shared" si="8"/>
        <v>Atypical Angina</v>
      </c>
      <c r="R120" t="str">
        <f t="shared" si="9"/>
        <v>Normal</v>
      </c>
      <c r="S120" t="str">
        <f t="shared" si="10"/>
        <v>No</v>
      </c>
      <c r="T120" t="str" cm="1">
        <f t="array" ref="T120">_xlfn.IFS(A119&lt;30,"18-29",A119&lt;40,"30-39",A119&lt;50,"40-49",A119&lt;60,"50-59",A119&gt;=60,"60+")</f>
        <v>40-49</v>
      </c>
      <c r="U120" t="str">
        <f t="shared" si="11"/>
        <v>High (Stage 1)</v>
      </c>
    </row>
    <row r="121" spans="1:21">
      <c r="A121">
        <v>42</v>
      </c>
      <c r="B121">
        <v>1</v>
      </c>
      <c r="C121">
        <v>1</v>
      </c>
      <c r="D121">
        <v>120</v>
      </c>
      <c r="E121">
        <v>295</v>
      </c>
      <c r="F121">
        <v>0</v>
      </c>
      <c r="G121">
        <v>1</v>
      </c>
      <c r="H121">
        <v>162</v>
      </c>
      <c r="I121">
        <v>0</v>
      </c>
      <c r="J121">
        <v>0</v>
      </c>
      <c r="K121">
        <v>2</v>
      </c>
      <c r="L121">
        <v>0</v>
      </c>
      <c r="M121">
        <v>2</v>
      </c>
      <c r="N121">
        <v>1</v>
      </c>
      <c r="O121" t="str">
        <f t="shared" si="6"/>
        <v>Male</v>
      </c>
      <c r="P121" t="str">
        <f t="shared" si="7"/>
        <v>Heart Disease</v>
      </c>
      <c r="Q121" t="str">
        <f t="shared" si="8"/>
        <v>Atypical Angina</v>
      </c>
      <c r="R121" t="str">
        <f t="shared" si="9"/>
        <v>Normal</v>
      </c>
      <c r="S121" t="str">
        <f t="shared" si="10"/>
        <v>No</v>
      </c>
      <c r="T121" t="str" cm="1">
        <f t="array" ref="T121">_xlfn.IFS(A120&lt;30,"18-29",A120&lt;40,"30-39",A120&lt;50,"40-49",A120&lt;60,"50-59",A120&gt;=60,"60+")</f>
        <v>18-29</v>
      </c>
      <c r="U121" t="str">
        <f t="shared" si="11"/>
        <v>Elevated</v>
      </c>
    </row>
    <row r="122" spans="1:21">
      <c r="A122">
        <v>54</v>
      </c>
      <c r="B122">
        <v>1</v>
      </c>
      <c r="C122">
        <v>1</v>
      </c>
      <c r="D122">
        <v>108</v>
      </c>
      <c r="E122">
        <v>309</v>
      </c>
      <c r="F122">
        <v>0</v>
      </c>
      <c r="G122">
        <v>1</v>
      </c>
      <c r="H122">
        <v>156</v>
      </c>
      <c r="I122">
        <v>0</v>
      </c>
      <c r="J122">
        <v>0</v>
      </c>
      <c r="K122">
        <v>2</v>
      </c>
      <c r="L122">
        <v>0</v>
      </c>
      <c r="M122">
        <v>3</v>
      </c>
      <c r="N122">
        <v>1</v>
      </c>
      <c r="O122" t="str">
        <f t="shared" si="6"/>
        <v>Male</v>
      </c>
      <c r="P122" t="str">
        <f t="shared" si="7"/>
        <v>Heart Disease</v>
      </c>
      <c r="Q122" t="str">
        <f t="shared" si="8"/>
        <v>Atypical Angina</v>
      </c>
      <c r="R122" t="str">
        <f t="shared" si="9"/>
        <v>Normal</v>
      </c>
      <c r="S122" t="str">
        <f t="shared" si="10"/>
        <v>No</v>
      </c>
      <c r="T122" t="str" cm="1">
        <f t="array" ref="T122">_xlfn.IFS(A121&lt;30,"18-29",A121&lt;40,"30-39",A121&lt;50,"40-49",A121&lt;60,"50-59",A121&gt;=60,"60+")</f>
        <v>40-49</v>
      </c>
      <c r="U122" t="str">
        <f t="shared" si="11"/>
        <v>Normal</v>
      </c>
    </row>
    <row r="123" spans="1:21">
      <c r="A123">
        <v>44</v>
      </c>
      <c r="B123">
        <v>1</v>
      </c>
      <c r="C123">
        <v>0</v>
      </c>
      <c r="D123">
        <v>120</v>
      </c>
      <c r="E123">
        <v>169</v>
      </c>
      <c r="F123">
        <v>0</v>
      </c>
      <c r="G123">
        <v>1</v>
      </c>
      <c r="H123">
        <v>144</v>
      </c>
      <c r="I123">
        <v>1</v>
      </c>
      <c r="J123">
        <v>2.8</v>
      </c>
      <c r="K123">
        <v>0</v>
      </c>
      <c r="L123">
        <v>0</v>
      </c>
      <c r="M123">
        <v>1</v>
      </c>
      <c r="N123">
        <v>0</v>
      </c>
      <c r="O123" t="str">
        <f t="shared" si="6"/>
        <v>Male</v>
      </c>
      <c r="P123" t="str">
        <f t="shared" si="7"/>
        <v>No Disease</v>
      </c>
      <c r="Q123" t="str">
        <f t="shared" si="8"/>
        <v>Typical Angina</v>
      </c>
      <c r="R123" t="str">
        <f t="shared" si="9"/>
        <v>Normal</v>
      </c>
      <c r="S123" t="str">
        <f t="shared" si="10"/>
        <v>Yes</v>
      </c>
      <c r="T123" t="str" cm="1">
        <f t="array" ref="T123">_xlfn.IFS(A122&lt;30,"18-29",A122&lt;40,"30-39",A122&lt;50,"40-49",A122&lt;60,"50-59",A122&gt;=60,"60+")</f>
        <v>50-59</v>
      </c>
      <c r="U123" t="str">
        <f t="shared" si="11"/>
        <v>Elevated</v>
      </c>
    </row>
    <row r="124" spans="1:21">
      <c r="A124">
        <v>60</v>
      </c>
      <c r="B124">
        <v>1</v>
      </c>
      <c r="C124">
        <v>0</v>
      </c>
      <c r="D124">
        <v>145</v>
      </c>
      <c r="E124">
        <v>282</v>
      </c>
      <c r="F124">
        <v>0</v>
      </c>
      <c r="G124">
        <v>0</v>
      </c>
      <c r="H124">
        <v>142</v>
      </c>
      <c r="I124">
        <v>1</v>
      </c>
      <c r="J124">
        <v>2.8</v>
      </c>
      <c r="K124">
        <v>1</v>
      </c>
      <c r="L124">
        <v>2</v>
      </c>
      <c r="M124">
        <v>3</v>
      </c>
      <c r="N124">
        <v>0</v>
      </c>
      <c r="O124" t="str">
        <f t="shared" si="6"/>
        <v>Male</v>
      </c>
      <c r="P124" t="str">
        <f t="shared" si="7"/>
        <v>No Disease</v>
      </c>
      <c r="Q124" t="str">
        <f t="shared" si="8"/>
        <v>Typical Angina</v>
      </c>
      <c r="R124" t="str">
        <f t="shared" si="9"/>
        <v>Normal</v>
      </c>
      <c r="S124" t="str">
        <f t="shared" si="10"/>
        <v>Yes</v>
      </c>
      <c r="T124" t="str" cm="1">
        <f t="array" ref="T124">_xlfn.IFS(A123&lt;30,"18-29",A123&lt;40,"30-39",A123&lt;50,"40-49",A123&lt;60,"50-59",A123&gt;=60,"60+")</f>
        <v>40-49</v>
      </c>
      <c r="U124" t="str">
        <f t="shared" si="11"/>
        <v>High (Stage 2)</v>
      </c>
    </row>
    <row r="125" spans="1:21">
      <c r="A125">
        <v>65</v>
      </c>
      <c r="B125">
        <v>0</v>
      </c>
      <c r="C125">
        <v>2</v>
      </c>
      <c r="D125">
        <v>140</v>
      </c>
      <c r="E125">
        <v>417</v>
      </c>
      <c r="F125">
        <v>1</v>
      </c>
      <c r="G125">
        <v>0</v>
      </c>
      <c r="H125">
        <v>157</v>
      </c>
      <c r="I125">
        <v>0</v>
      </c>
      <c r="J125">
        <v>0.8</v>
      </c>
      <c r="K125">
        <v>2</v>
      </c>
      <c r="L125">
        <v>1</v>
      </c>
      <c r="M125">
        <v>2</v>
      </c>
      <c r="N125">
        <v>1</v>
      </c>
      <c r="O125" t="str">
        <f t="shared" si="6"/>
        <v>Female</v>
      </c>
      <c r="P125" t="str">
        <f t="shared" si="7"/>
        <v>Heart Disease</v>
      </c>
      <c r="Q125" t="str">
        <f t="shared" si="8"/>
        <v>Non-Anginal Pain</v>
      </c>
      <c r="R125" t="str">
        <f t="shared" si="9"/>
        <v>High</v>
      </c>
      <c r="S125" t="str">
        <f t="shared" si="10"/>
        <v>No</v>
      </c>
      <c r="T125" t="str" cm="1">
        <f t="array" ref="T125">_xlfn.IFS(A124&lt;30,"18-29",A124&lt;40,"30-39",A124&lt;50,"40-49",A124&lt;60,"50-59",A124&gt;=60,"60+")</f>
        <v>60+</v>
      </c>
      <c r="U125" t="str">
        <f t="shared" si="11"/>
        <v>High (Stage 2)</v>
      </c>
    </row>
    <row r="126" spans="1:21">
      <c r="A126">
        <v>61</v>
      </c>
      <c r="B126">
        <v>1</v>
      </c>
      <c r="C126">
        <v>0</v>
      </c>
      <c r="D126">
        <v>120</v>
      </c>
      <c r="E126">
        <v>260</v>
      </c>
      <c r="F126">
        <v>0</v>
      </c>
      <c r="G126">
        <v>1</v>
      </c>
      <c r="H126">
        <v>140</v>
      </c>
      <c r="I126">
        <v>1</v>
      </c>
      <c r="J126">
        <v>3.6</v>
      </c>
      <c r="K126">
        <v>1</v>
      </c>
      <c r="L126">
        <v>1</v>
      </c>
      <c r="M126">
        <v>3</v>
      </c>
      <c r="N126">
        <v>0</v>
      </c>
      <c r="O126" t="str">
        <f t="shared" si="6"/>
        <v>Male</v>
      </c>
      <c r="P126" t="str">
        <f t="shared" si="7"/>
        <v>No Disease</v>
      </c>
      <c r="Q126" t="str">
        <f t="shared" si="8"/>
        <v>Typical Angina</v>
      </c>
      <c r="R126" t="str">
        <f t="shared" si="9"/>
        <v>Normal</v>
      </c>
      <c r="S126" t="str">
        <f t="shared" si="10"/>
        <v>Yes</v>
      </c>
      <c r="T126" t="str" cm="1">
        <f t="array" ref="T126">_xlfn.IFS(A125&lt;30,"18-29",A125&lt;40,"30-39",A125&lt;50,"40-49",A125&lt;60,"50-59",A125&gt;=60,"60+")</f>
        <v>60+</v>
      </c>
      <c r="U126" t="str">
        <f t="shared" si="11"/>
        <v>Elevated</v>
      </c>
    </row>
    <row r="127" spans="1:21">
      <c r="A127">
        <v>60</v>
      </c>
      <c r="B127">
        <v>0</v>
      </c>
      <c r="C127">
        <v>3</v>
      </c>
      <c r="D127">
        <v>150</v>
      </c>
      <c r="E127">
        <v>240</v>
      </c>
      <c r="F127">
        <v>0</v>
      </c>
      <c r="G127">
        <v>1</v>
      </c>
      <c r="H127">
        <v>171</v>
      </c>
      <c r="I127">
        <v>0</v>
      </c>
      <c r="J127">
        <v>0.9</v>
      </c>
      <c r="K127">
        <v>2</v>
      </c>
      <c r="L127">
        <v>0</v>
      </c>
      <c r="M127">
        <v>2</v>
      </c>
      <c r="N127">
        <v>1</v>
      </c>
      <c r="O127" t="str">
        <f t="shared" si="6"/>
        <v>Female</v>
      </c>
      <c r="P127" t="str">
        <f t="shared" si="7"/>
        <v>Heart Disease</v>
      </c>
      <c r="Q127" t="str">
        <f t="shared" si="8"/>
        <v>Asymptomatic</v>
      </c>
      <c r="R127" t="str">
        <f t="shared" si="9"/>
        <v>Normal</v>
      </c>
      <c r="S127" t="str">
        <f t="shared" si="10"/>
        <v>No</v>
      </c>
      <c r="T127" t="str" cm="1">
        <f t="array" ref="T127">_xlfn.IFS(A126&lt;30,"18-29",A126&lt;40,"30-39",A126&lt;50,"40-49",A126&lt;60,"50-59",A126&gt;=60,"60+")</f>
        <v>60+</v>
      </c>
      <c r="U127" t="str">
        <f t="shared" si="11"/>
        <v>High (Stage 2)</v>
      </c>
    </row>
    <row r="128" spans="1:21">
      <c r="A128">
        <v>66</v>
      </c>
      <c r="B128">
        <v>1</v>
      </c>
      <c r="C128">
        <v>0</v>
      </c>
      <c r="D128">
        <v>120</v>
      </c>
      <c r="E128">
        <v>302</v>
      </c>
      <c r="F128">
        <v>0</v>
      </c>
      <c r="G128">
        <v>0</v>
      </c>
      <c r="H128">
        <v>151</v>
      </c>
      <c r="I128">
        <v>0</v>
      </c>
      <c r="J128">
        <v>0.4</v>
      </c>
      <c r="K128">
        <v>1</v>
      </c>
      <c r="L128">
        <v>0</v>
      </c>
      <c r="M128">
        <v>2</v>
      </c>
      <c r="N128">
        <v>1</v>
      </c>
      <c r="O128" t="str">
        <f t="shared" si="6"/>
        <v>Male</v>
      </c>
      <c r="P128" t="str">
        <f t="shared" si="7"/>
        <v>Heart Disease</v>
      </c>
      <c r="Q128" t="str">
        <f t="shared" si="8"/>
        <v>Typical Angina</v>
      </c>
      <c r="R128" t="str">
        <f t="shared" si="9"/>
        <v>Normal</v>
      </c>
      <c r="S128" t="str">
        <f t="shared" si="10"/>
        <v>No</v>
      </c>
      <c r="T128" t="str" cm="1">
        <f t="array" ref="T128">_xlfn.IFS(A127&lt;30,"18-29",A127&lt;40,"30-39",A127&lt;50,"40-49",A127&lt;60,"50-59",A127&gt;=60,"60+")</f>
        <v>60+</v>
      </c>
      <c r="U128" t="str">
        <f t="shared" si="11"/>
        <v>Elevated</v>
      </c>
    </row>
    <row r="129" spans="1:21">
      <c r="A129">
        <v>53</v>
      </c>
      <c r="B129">
        <v>1</v>
      </c>
      <c r="C129">
        <v>2</v>
      </c>
      <c r="D129">
        <v>130</v>
      </c>
      <c r="E129">
        <v>197</v>
      </c>
      <c r="F129">
        <v>1</v>
      </c>
      <c r="G129">
        <v>0</v>
      </c>
      <c r="H129">
        <v>152</v>
      </c>
      <c r="I129">
        <v>0</v>
      </c>
      <c r="J129">
        <v>1.2</v>
      </c>
      <c r="K129">
        <v>0</v>
      </c>
      <c r="L129">
        <v>0</v>
      </c>
      <c r="M129">
        <v>2</v>
      </c>
      <c r="N129">
        <v>1</v>
      </c>
      <c r="O129" t="str">
        <f t="shared" si="6"/>
        <v>Male</v>
      </c>
      <c r="P129" t="str">
        <f t="shared" si="7"/>
        <v>Heart Disease</v>
      </c>
      <c r="Q129" t="str">
        <f t="shared" si="8"/>
        <v>Non-Anginal Pain</v>
      </c>
      <c r="R129" t="str">
        <f t="shared" si="9"/>
        <v>High</v>
      </c>
      <c r="S129" t="str">
        <f t="shared" si="10"/>
        <v>No</v>
      </c>
      <c r="T129" t="str" cm="1">
        <f t="array" ref="T129">_xlfn.IFS(A128&lt;30,"18-29",A128&lt;40,"30-39",A128&lt;50,"40-49",A128&lt;60,"50-59",A128&gt;=60,"60+")</f>
        <v>60+</v>
      </c>
      <c r="U129" t="str">
        <f t="shared" si="11"/>
        <v>High (Stage 1)</v>
      </c>
    </row>
    <row r="130" spans="1:21">
      <c r="A130">
        <v>52</v>
      </c>
      <c r="B130">
        <v>1</v>
      </c>
      <c r="C130">
        <v>2</v>
      </c>
      <c r="D130">
        <v>138</v>
      </c>
      <c r="E130">
        <v>223</v>
      </c>
      <c r="F130">
        <v>0</v>
      </c>
      <c r="G130">
        <v>1</v>
      </c>
      <c r="H130">
        <v>169</v>
      </c>
      <c r="I130">
        <v>0</v>
      </c>
      <c r="J130">
        <v>0</v>
      </c>
      <c r="K130">
        <v>2</v>
      </c>
      <c r="L130">
        <v>4</v>
      </c>
      <c r="M130">
        <v>2</v>
      </c>
      <c r="N130">
        <v>1</v>
      </c>
      <c r="O130" t="str">
        <f t="shared" ref="O130:O193" si="12">IF(B130=1,"Male","Female")</f>
        <v>Male</v>
      </c>
      <c r="P130" t="str">
        <f t="shared" ref="P130:P193" si="13">IF(N130=1,"Heart Disease","No Disease")</f>
        <v>Heart Disease</v>
      </c>
      <c r="Q130" t="str">
        <f t="shared" ref="Q130:Q193" si="14">IF(C130=0,"Typical Angina",IF(C130=1,"Atypical Angina",IF(C130=2,"Non-Anginal Pain","Asymptomatic")))</f>
        <v>Non-Anginal Pain</v>
      </c>
      <c r="R130" t="str">
        <f t="shared" ref="R130:R193" si="15">IF(F130=1,"High","Normal")</f>
        <v>Normal</v>
      </c>
      <c r="S130" t="str">
        <f t="shared" ref="S130:S193" si="16">IF(I130=1,"Yes","No")</f>
        <v>No</v>
      </c>
      <c r="T130" t="str" cm="1">
        <f t="array" ref="T130">_xlfn.IFS(A129&lt;30,"18-29",A129&lt;40,"30-39",A129&lt;50,"40-49",A129&lt;60,"50-59",A129&gt;=60,"60+")</f>
        <v>50-59</v>
      </c>
      <c r="U130" t="str">
        <f t="shared" ref="U130:U193" si="17">IF(D130&lt;120,"Normal",IF(D130&lt;130,"Elevated",IF(D130&lt;140,"High (Stage 1)","High (Stage 2)")))</f>
        <v>High (Stage 1)</v>
      </c>
    </row>
    <row r="131" spans="1:21">
      <c r="A131">
        <v>57</v>
      </c>
      <c r="B131">
        <v>1</v>
      </c>
      <c r="C131">
        <v>0</v>
      </c>
      <c r="D131">
        <v>140</v>
      </c>
      <c r="E131">
        <v>192</v>
      </c>
      <c r="F131">
        <v>0</v>
      </c>
      <c r="G131">
        <v>1</v>
      </c>
      <c r="H131">
        <v>148</v>
      </c>
      <c r="I131">
        <v>0</v>
      </c>
      <c r="J131">
        <v>0.4</v>
      </c>
      <c r="K131">
        <v>1</v>
      </c>
      <c r="L131">
        <v>0</v>
      </c>
      <c r="M131">
        <v>1</v>
      </c>
      <c r="N131">
        <v>1</v>
      </c>
      <c r="O131" t="str">
        <f t="shared" si="12"/>
        <v>Male</v>
      </c>
      <c r="P131" t="str">
        <f t="shared" si="13"/>
        <v>Heart Disease</v>
      </c>
      <c r="Q131" t="str">
        <f t="shared" si="14"/>
        <v>Typical Angina</v>
      </c>
      <c r="R131" t="str">
        <f t="shared" si="15"/>
        <v>Normal</v>
      </c>
      <c r="S131" t="str">
        <f t="shared" si="16"/>
        <v>No</v>
      </c>
      <c r="T131" t="str" cm="1">
        <f t="array" ref="T131">_xlfn.IFS(A130&lt;30,"18-29",A130&lt;40,"30-39",A130&lt;50,"40-49",A130&lt;60,"50-59",A130&gt;=60,"60+")</f>
        <v>50-59</v>
      </c>
      <c r="U131" t="str">
        <f t="shared" si="17"/>
        <v>High (Stage 2)</v>
      </c>
    </row>
    <row r="132" spans="1:21">
      <c r="A132">
        <v>60</v>
      </c>
      <c r="B132">
        <v>0</v>
      </c>
      <c r="C132">
        <v>3</v>
      </c>
      <c r="D132">
        <v>150</v>
      </c>
      <c r="E132">
        <v>240</v>
      </c>
      <c r="F132">
        <v>0</v>
      </c>
      <c r="G132">
        <v>1</v>
      </c>
      <c r="H132">
        <v>171</v>
      </c>
      <c r="I132">
        <v>0</v>
      </c>
      <c r="J132">
        <v>0.9</v>
      </c>
      <c r="K132">
        <v>2</v>
      </c>
      <c r="L132">
        <v>0</v>
      </c>
      <c r="M132">
        <v>2</v>
      </c>
      <c r="N132">
        <v>1</v>
      </c>
      <c r="O132" t="str">
        <f t="shared" si="12"/>
        <v>Female</v>
      </c>
      <c r="P132" t="str">
        <f t="shared" si="13"/>
        <v>Heart Disease</v>
      </c>
      <c r="Q132" t="str">
        <f t="shared" si="14"/>
        <v>Asymptomatic</v>
      </c>
      <c r="R132" t="str">
        <f t="shared" si="15"/>
        <v>Normal</v>
      </c>
      <c r="S132" t="str">
        <f t="shared" si="16"/>
        <v>No</v>
      </c>
      <c r="T132" t="str" cm="1">
        <f t="array" ref="T132">_xlfn.IFS(A131&lt;30,"18-29",A131&lt;40,"30-39",A131&lt;50,"40-49",A131&lt;60,"50-59",A131&gt;=60,"60+")</f>
        <v>50-59</v>
      </c>
      <c r="U132" t="str">
        <f t="shared" si="17"/>
        <v>High (Stage 2)</v>
      </c>
    </row>
    <row r="133" spans="1:21">
      <c r="A133">
        <v>51</v>
      </c>
      <c r="B133">
        <v>0</v>
      </c>
      <c r="C133">
        <v>2</v>
      </c>
      <c r="D133">
        <v>130</v>
      </c>
      <c r="E133">
        <v>256</v>
      </c>
      <c r="F133">
        <v>0</v>
      </c>
      <c r="G133">
        <v>0</v>
      </c>
      <c r="H133">
        <v>149</v>
      </c>
      <c r="I133">
        <v>0</v>
      </c>
      <c r="J133">
        <v>0.5</v>
      </c>
      <c r="K133">
        <v>2</v>
      </c>
      <c r="L133">
        <v>0</v>
      </c>
      <c r="M133">
        <v>2</v>
      </c>
      <c r="N133">
        <v>1</v>
      </c>
      <c r="O133" t="str">
        <f t="shared" si="12"/>
        <v>Female</v>
      </c>
      <c r="P133" t="str">
        <f t="shared" si="13"/>
        <v>Heart Disease</v>
      </c>
      <c r="Q133" t="str">
        <f t="shared" si="14"/>
        <v>Non-Anginal Pain</v>
      </c>
      <c r="R133" t="str">
        <f t="shared" si="15"/>
        <v>Normal</v>
      </c>
      <c r="S133" t="str">
        <f t="shared" si="16"/>
        <v>No</v>
      </c>
      <c r="T133" t="str" cm="1">
        <f t="array" ref="T133">_xlfn.IFS(A132&lt;30,"18-29",A132&lt;40,"30-39",A132&lt;50,"40-49",A132&lt;60,"50-59",A132&gt;=60,"60+")</f>
        <v>60+</v>
      </c>
      <c r="U133" t="str">
        <f t="shared" si="17"/>
        <v>High (Stage 1)</v>
      </c>
    </row>
    <row r="134" spans="1:21">
      <c r="A134">
        <v>41</v>
      </c>
      <c r="B134">
        <v>1</v>
      </c>
      <c r="C134">
        <v>1</v>
      </c>
      <c r="D134">
        <v>135</v>
      </c>
      <c r="E134">
        <v>203</v>
      </c>
      <c r="F134">
        <v>0</v>
      </c>
      <c r="G134">
        <v>1</v>
      </c>
      <c r="H134">
        <v>132</v>
      </c>
      <c r="I134">
        <v>0</v>
      </c>
      <c r="J134">
        <v>0</v>
      </c>
      <c r="K134">
        <v>1</v>
      </c>
      <c r="L134">
        <v>0</v>
      </c>
      <c r="M134">
        <v>1</v>
      </c>
      <c r="N134">
        <v>1</v>
      </c>
      <c r="O134" t="str">
        <f t="shared" si="12"/>
        <v>Male</v>
      </c>
      <c r="P134" t="str">
        <f t="shared" si="13"/>
        <v>Heart Disease</v>
      </c>
      <c r="Q134" t="str">
        <f t="shared" si="14"/>
        <v>Atypical Angina</v>
      </c>
      <c r="R134" t="str">
        <f t="shared" si="15"/>
        <v>Normal</v>
      </c>
      <c r="S134" t="str">
        <f t="shared" si="16"/>
        <v>No</v>
      </c>
      <c r="T134" t="str" cm="1">
        <f t="array" ref="T134">_xlfn.IFS(A133&lt;30,"18-29",A133&lt;40,"30-39",A133&lt;50,"40-49",A133&lt;60,"50-59",A133&gt;=60,"60+")</f>
        <v>50-59</v>
      </c>
      <c r="U134" t="str">
        <f t="shared" si="17"/>
        <v>High (Stage 1)</v>
      </c>
    </row>
    <row r="135" spans="1:21">
      <c r="A135">
        <v>50</v>
      </c>
      <c r="B135">
        <v>1</v>
      </c>
      <c r="C135">
        <v>2</v>
      </c>
      <c r="D135">
        <v>129</v>
      </c>
      <c r="E135">
        <v>196</v>
      </c>
      <c r="F135">
        <v>0</v>
      </c>
      <c r="G135">
        <v>1</v>
      </c>
      <c r="H135">
        <v>163</v>
      </c>
      <c r="I135">
        <v>0</v>
      </c>
      <c r="J135">
        <v>0</v>
      </c>
      <c r="K135">
        <v>2</v>
      </c>
      <c r="L135">
        <v>0</v>
      </c>
      <c r="M135">
        <v>2</v>
      </c>
      <c r="N135">
        <v>1</v>
      </c>
      <c r="O135" t="str">
        <f t="shared" si="12"/>
        <v>Male</v>
      </c>
      <c r="P135" t="str">
        <f t="shared" si="13"/>
        <v>Heart Disease</v>
      </c>
      <c r="Q135" t="str">
        <f t="shared" si="14"/>
        <v>Non-Anginal Pain</v>
      </c>
      <c r="R135" t="str">
        <f t="shared" si="15"/>
        <v>Normal</v>
      </c>
      <c r="S135" t="str">
        <f t="shared" si="16"/>
        <v>No</v>
      </c>
      <c r="T135" t="str" cm="1">
        <f t="array" ref="T135">_xlfn.IFS(A134&lt;30,"18-29",A134&lt;40,"30-39",A134&lt;50,"40-49",A134&lt;60,"50-59",A134&gt;=60,"60+")</f>
        <v>40-49</v>
      </c>
      <c r="U135" t="str">
        <f t="shared" si="17"/>
        <v>Elevated</v>
      </c>
    </row>
    <row r="136" spans="1:21">
      <c r="A136">
        <v>54</v>
      </c>
      <c r="B136">
        <v>1</v>
      </c>
      <c r="C136">
        <v>1</v>
      </c>
      <c r="D136">
        <v>108</v>
      </c>
      <c r="E136">
        <v>309</v>
      </c>
      <c r="F136">
        <v>0</v>
      </c>
      <c r="G136">
        <v>1</v>
      </c>
      <c r="H136">
        <v>156</v>
      </c>
      <c r="I136">
        <v>0</v>
      </c>
      <c r="J136">
        <v>0</v>
      </c>
      <c r="K136">
        <v>2</v>
      </c>
      <c r="L136">
        <v>0</v>
      </c>
      <c r="M136">
        <v>3</v>
      </c>
      <c r="N136">
        <v>1</v>
      </c>
      <c r="O136" t="str">
        <f t="shared" si="12"/>
        <v>Male</v>
      </c>
      <c r="P136" t="str">
        <f t="shared" si="13"/>
        <v>Heart Disease</v>
      </c>
      <c r="Q136" t="str">
        <f t="shared" si="14"/>
        <v>Atypical Angina</v>
      </c>
      <c r="R136" t="str">
        <f t="shared" si="15"/>
        <v>Normal</v>
      </c>
      <c r="S136" t="str">
        <f t="shared" si="16"/>
        <v>No</v>
      </c>
      <c r="T136" t="str" cm="1">
        <f t="array" ref="T136">_xlfn.IFS(A135&lt;30,"18-29",A135&lt;40,"30-39",A135&lt;50,"40-49",A135&lt;60,"50-59",A135&gt;=60,"60+")</f>
        <v>50-59</v>
      </c>
      <c r="U136" t="str">
        <f t="shared" si="17"/>
        <v>Normal</v>
      </c>
    </row>
    <row r="137" spans="1:21">
      <c r="A137">
        <v>58</v>
      </c>
      <c r="B137">
        <v>0</v>
      </c>
      <c r="C137">
        <v>0</v>
      </c>
      <c r="D137">
        <v>170</v>
      </c>
      <c r="E137">
        <v>225</v>
      </c>
      <c r="F137">
        <v>1</v>
      </c>
      <c r="G137">
        <v>0</v>
      </c>
      <c r="H137">
        <v>146</v>
      </c>
      <c r="I137">
        <v>1</v>
      </c>
      <c r="J137">
        <v>2.8</v>
      </c>
      <c r="K137">
        <v>1</v>
      </c>
      <c r="L137">
        <v>2</v>
      </c>
      <c r="M137">
        <v>1</v>
      </c>
      <c r="N137">
        <v>0</v>
      </c>
      <c r="O137" t="str">
        <f t="shared" si="12"/>
        <v>Female</v>
      </c>
      <c r="P137" t="str">
        <f t="shared" si="13"/>
        <v>No Disease</v>
      </c>
      <c r="Q137" t="str">
        <f t="shared" si="14"/>
        <v>Typical Angina</v>
      </c>
      <c r="R137" t="str">
        <f t="shared" si="15"/>
        <v>High</v>
      </c>
      <c r="S137" t="str">
        <f t="shared" si="16"/>
        <v>Yes</v>
      </c>
      <c r="T137" t="str" cm="1">
        <f t="array" ref="T137">_xlfn.IFS(A136&lt;30,"18-29",A136&lt;40,"30-39",A136&lt;50,"40-49",A136&lt;60,"50-59",A136&gt;=60,"60+")</f>
        <v>50-59</v>
      </c>
      <c r="U137" t="str">
        <f t="shared" si="17"/>
        <v>High (Stage 2)</v>
      </c>
    </row>
    <row r="138" spans="1:21">
      <c r="A138">
        <v>55</v>
      </c>
      <c r="B138">
        <v>0</v>
      </c>
      <c r="C138">
        <v>1</v>
      </c>
      <c r="D138">
        <v>132</v>
      </c>
      <c r="E138">
        <v>342</v>
      </c>
      <c r="F138">
        <v>0</v>
      </c>
      <c r="G138">
        <v>1</v>
      </c>
      <c r="H138">
        <v>166</v>
      </c>
      <c r="I138">
        <v>0</v>
      </c>
      <c r="J138">
        <v>1.2</v>
      </c>
      <c r="K138">
        <v>2</v>
      </c>
      <c r="L138">
        <v>0</v>
      </c>
      <c r="M138">
        <v>2</v>
      </c>
      <c r="N138">
        <v>1</v>
      </c>
      <c r="O138" t="str">
        <f t="shared" si="12"/>
        <v>Female</v>
      </c>
      <c r="P138" t="str">
        <f t="shared" si="13"/>
        <v>Heart Disease</v>
      </c>
      <c r="Q138" t="str">
        <f t="shared" si="14"/>
        <v>Atypical Angina</v>
      </c>
      <c r="R138" t="str">
        <f t="shared" si="15"/>
        <v>Normal</v>
      </c>
      <c r="S138" t="str">
        <f t="shared" si="16"/>
        <v>No</v>
      </c>
      <c r="T138" t="str" cm="1">
        <f t="array" ref="T138">_xlfn.IFS(A137&lt;30,"18-29",A137&lt;40,"30-39",A137&lt;50,"40-49",A137&lt;60,"50-59",A137&gt;=60,"60+")</f>
        <v>50-59</v>
      </c>
      <c r="U138" t="str">
        <f t="shared" si="17"/>
        <v>High (Stage 1)</v>
      </c>
    </row>
    <row r="139" spans="1:21">
      <c r="A139">
        <v>64</v>
      </c>
      <c r="B139">
        <v>0</v>
      </c>
      <c r="C139">
        <v>0</v>
      </c>
      <c r="D139">
        <v>180</v>
      </c>
      <c r="E139">
        <v>325</v>
      </c>
      <c r="F139">
        <v>0</v>
      </c>
      <c r="G139">
        <v>1</v>
      </c>
      <c r="H139">
        <v>154</v>
      </c>
      <c r="I139">
        <v>1</v>
      </c>
      <c r="J139">
        <v>0</v>
      </c>
      <c r="K139">
        <v>2</v>
      </c>
      <c r="L139">
        <v>0</v>
      </c>
      <c r="M139">
        <v>2</v>
      </c>
      <c r="N139">
        <v>1</v>
      </c>
      <c r="O139" t="str">
        <f t="shared" si="12"/>
        <v>Female</v>
      </c>
      <c r="P139" t="str">
        <f t="shared" si="13"/>
        <v>Heart Disease</v>
      </c>
      <c r="Q139" t="str">
        <f t="shared" si="14"/>
        <v>Typical Angina</v>
      </c>
      <c r="R139" t="str">
        <f t="shared" si="15"/>
        <v>Normal</v>
      </c>
      <c r="S139" t="str">
        <f t="shared" si="16"/>
        <v>Yes</v>
      </c>
      <c r="T139" t="str" cm="1">
        <f t="array" ref="T139">_xlfn.IFS(A138&lt;30,"18-29",A138&lt;40,"30-39",A138&lt;50,"40-49",A138&lt;60,"50-59",A138&gt;=60,"60+")</f>
        <v>50-59</v>
      </c>
      <c r="U139" t="str">
        <f t="shared" si="17"/>
        <v>High (Stage 2)</v>
      </c>
    </row>
    <row r="140" spans="1:21">
      <c r="A140">
        <v>47</v>
      </c>
      <c r="B140">
        <v>1</v>
      </c>
      <c r="C140">
        <v>2</v>
      </c>
      <c r="D140">
        <v>138</v>
      </c>
      <c r="E140">
        <v>257</v>
      </c>
      <c r="F140">
        <v>0</v>
      </c>
      <c r="G140">
        <v>0</v>
      </c>
      <c r="H140">
        <v>156</v>
      </c>
      <c r="I140">
        <v>0</v>
      </c>
      <c r="J140">
        <v>0</v>
      </c>
      <c r="K140">
        <v>2</v>
      </c>
      <c r="L140">
        <v>0</v>
      </c>
      <c r="M140">
        <v>2</v>
      </c>
      <c r="N140">
        <v>1</v>
      </c>
      <c r="O140" t="str">
        <f t="shared" si="12"/>
        <v>Male</v>
      </c>
      <c r="P140" t="str">
        <f t="shared" si="13"/>
        <v>Heart Disease</v>
      </c>
      <c r="Q140" t="str">
        <f t="shared" si="14"/>
        <v>Non-Anginal Pain</v>
      </c>
      <c r="R140" t="str">
        <f t="shared" si="15"/>
        <v>Normal</v>
      </c>
      <c r="S140" t="str">
        <f t="shared" si="16"/>
        <v>No</v>
      </c>
      <c r="T140" t="str" cm="1">
        <f t="array" ref="T140">_xlfn.IFS(A139&lt;30,"18-29",A139&lt;40,"30-39",A139&lt;50,"40-49",A139&lt;60,"50-59",A139&gt;=60,"60+")</f>
        <v>60+</v>
      </c>
      <c r="U140" t="str">
        <f t="shared" si="17"/>
        <v>High (Stage 1)</v>
      </c>
    </row>
    <row r="141" spans="1:21">
      <c r="A141">
        <v>41</v>
      </c>
      <c r="B141">
        <v>1</v>
      </c>
      <c r="C141">
        <v>1</v>
      </c>
      <c r="D141">
        <v>110</v>
      </c>
      <c r="E141">
        <v>235</v>
      </c>
      <c r="F141">
        <v>0</v>
      </c>
      <c r="G141">
        <v>1</v>
      </c>
      <c r="H141">
        <v>153</v>
      </c>
      <c r="I141">
        <v>0</v>
      </c>
      <c r="J141">
        <v>0</v>
      </c>
      <c r="K141">
        <v>2</v>
      </c>
      <c r="L141">
        <v>0</v>
      </c>
      <c r="M141">
        <v>2</v>
      </c>
      <c r="N141">
        <v>1</v>
      </c>
      <c r="O141" t="str">
        <f t="shared" si="12"/>
        <v>Male</v>
      </c>
      <c r="P141" t="str">
        <f t="shared" si="13"/>
        <v>Heart Disease</v>
      </c>
      <c r="Q141" t="str">
        <f t="shared" si="14"/>
        <v>Atypical Angina</v>
      </c>
      <c r="R141" t="str">
        <f t="shared" si="15"/>
        <v>Normal</v>
      </c>
      <c r="S141" t="str">
        <f t="shared" si="16"/>
        <v>No</v>
      </c>
      <c r="T141" t="str" cm="1">
        <f t="array" ref="T141">_xlfn.IFS(A140&lt;30,"18-29",A140&lt;40,"30-39",A140&lt;50,"40-49",A140&lt;60,"50-59",A140&gt;=60,"60+")</f>
        <v>40-49</v>
      </c>
      <c r="U141" t="str">
        <f t="shared" si="17"/>
        <v>Normal</v>
      </c>
    </row>
    <row r="142" spans="1:21">
      <c r="A142">
        <v>57</v>
      </c>
      <c r="B142">
        <v>1</v>
      </c>
      <c r="C142">
        <v>0</v>
      </c>
      <c r="D142">
        <v>152</v>
      </c>
      <c r="E142">
        <v>274</v>
      </c>
      <c r="F142">
        <v>0</v>
      </c>
      <c r="G142">
        <v>1</v>
      </c>
      <c r="H142">
        <v>88</v>
      </c>
      <c r="I142">
        <v>1</v>
      </c>
      <c r="J142">
        <v>1.2</v>
      </c>
      <c r="K142">
        <v>1</v>
      </c>
      <c r="L142">
        <v>1</v>
      </c>
      <c r="M142">
        <v>3</v>
      </c>
      <c r="N142">
        <v>0</v>
      </c>
      <c r="O142" t="str">
        <f t="shared" si="12"/>
        <v>Male</v>
      </c>
      <c r="P142" t="str">
        <f t="shared" si="13"/>
        <v>No Disease</v>
      </c>
      <c r="Q142" t="str">
        <f t="shared" si="14"/>
        <v>Typical Angina</v>
      </c>
      <c r="R142" t="str">
        <f t="shared" si="15"/>
        <v>Normal</v>
      </c>
      <c r="S142" t="str">
        <f t="shared" si="16"/>
        <v>Yes</v>
      </c>
      <c r="T142" t="str" cm="1">
        <f t="array" ref="T142">_xlfn.IFS(A141&lt;30,"18-29",A141&lt;40,"30-39",A141&lt;50,"40-49",A141&lt;60,"50-59",A141&gt;=60,"60+")</f>
        <v>40-49</v>
      </c>
      <c r="U142" t="str">
        <f t="shared" si="17"/>
        <v>High (Stage 2)</v>
      </c>
    </row>
    <row r="143" spans="1:21">
      <c r="A143">
        <v>63</v>
      </c>
      <c r="B143">
        <v>0</v>
      </c>
      <c r="C143">
        <v>0</v>
      </c>
      <c r="D143">
        <v>124</v>
      </c>
      <c r="E143">
        <v>197</v>
      </c>
      <c r="F143">
        <v>0</v>
      </c>
      <c r="G143">
        <v>1</v>
      </c>
      <c r="H143">
        <v>136</v>
      </c>
      <c r="I143">
        <v>1</v>
      </c>
      <c r="J143">
        <v>0</v>
      </c>
      <c r="K143">
        <v>1</v>
      </c>
      <c r="L143">
        <v>0</v>
      </c>
      <c r="M143">
        <v>2</v>
      </c>
      <c r="N143">
        <v>0</v>
      </c>
      <c r="O143" t="str">
        <f t="shared" si="12"/>
        <v>Female</v>
      </c>
      <c r="P143" t="str">
        <f t="shared" si="13"/>
        <v>No Disease</v>
      </c>
      <c r="Q143" t="str">
        <f t="shared" si="14"/>
        <v>Typical Angina</v>
      </c>
      <c r="R143" t="str">
        <f t="shared" si="15"/>
        <v>Normal</v>
      </c>
      <c r="S143" t="str">
        <f t="shared" si="16"/>
        <v>Yes</v>
      </c>
      <c r="T143" t="str" cm="1">
        <f t="array" ref="T143">_xlfn.IFS(A142&lt;30,"18-29",A142&lt;40,"30-39",A142&lt;50,"40-49",A142&lt;60,"50-59",A142&gt;=60,"60+")</f>
        <v>50-59</v>
      </c>
      <c r="U143" t="str">
        <f t="shared" si="17"/>
        <v>Elevated</v>
      </c>
    </row>
    <row r="144" spans="1:21">
      <c r="A144">
        <v>61</v>
      </c>
      <c r="B144">
        <v>1</v>
      </c>
      <c r="C144">
        <v>3</v>
      </c>
      <c r="D144">
        <v>134</v>
      </c>
      <c r="E144">
        <v>234</v>
      </c>
      <c r="F144">
        <v>0</v>
      </c>
      <c r="G144">
        <v>1</v>
      </c>
      <c r="H144">
        <v>145</v>
      </c>
      <c r="I144">
        <v>0</v>
      </c>
      <c r="J144">
        <v>2.6</v>
      </c>
      <c r="K144">
        <v>1</v>
      </c>
      <c r="L144">
        <v>2</v>
      </c>
      <c r="M144">
        <v>2</v>
      </c>
      <c r="N144">
        <v>0</v>
      </c>
      <c r="O144" t="str">
        <f t="shared" si="12"/>
        <v>Male</v>
      </c>
      <c r="P144" t="str">
        <f t="shared" si="13"/>
        <v>No Disease</v>
      </c>
      <c r="Q144" t="str">
        <f t="shared" si="14"/>
        <v>Asymptomatic</v>
      </c>
      <c r="R144" t="str">
        <f t="shared" si="15"/>
        <v>Normal</v>
      </c>
      <c r="S144" t="str">
        <f t="shared" si="16"/>
        <v>No</v>
      </c>
      <c r="T144" t="str" cm="1">
        <f t="array" ref="T144">_xlfn.IFS(A143&lt;30,"18-29",A143&lt;40,"30-39",A143&lt;50,"40-49",A143&lt;60,"50-59",A143&gt;=60,"60+")</f>
        <v>60+</v>
      </c>
      <c r="U144" t="str">
        <f t="shared" si="17"/>
        <v>High (Stage 1)</v>
      </c>
    </row>
    <row r="145" spans="1:21">
      <c r="A145">
        <v>34</v>
      </c>
      <c r="B145">
        <v>1</v>
      </c>
      <c r="C145">
        <v>3</v>
      </c>
      <c r="D145">
        <v>118</v>
      </c>
      <c r="E145">
        <v>182</v>
      </c>
      <c r="F145">
        <v>0</v>
      </c>
      <c r="G145">
        <v>0</v>
      </c>
      <c r="H145">
        <v>174</v>
      </c>
      <c r="I145">
        <v>0</v>
      </c>
      <c r="J145">
        <v>0</v>
      </c>
      <c r="K145">
        <v>2</v>
      </c>
      <c r="L145">
        <v>0</v>
      </c>
      <c r="M145">
        <v>2</v>
      </c>
      <c r="N145">
        <v>1</v>
      </c>
      <c r="O145" t="str">
        <f t="shared" si="12"/>
        <v>Male</v>
      </c>
      <c r="P145" t="str">
        <f t="shared" si="13"/>
        <v>Heart Disease</v>
      </c>
      <c r="Q145" t="str">
        <f t="shared" si="14"/>
        <v>Asymptomatic</v>
      </c>
      <c r="R145" t="str">
        <f t="shared" si="15"/>
        <v>Normal</v>
      </c>
      <c r="S145" t="str">
        <f t="shared" si="16"/>
        <v>No</v>
      </c>
      <c r="T145" t="str" cm="1">
        <f t="array" ref="T145">_xlfn.IFS(A144&lt;30,"18-29",A144&lt;40,"30-39",A144&lt;50,"40-49",A144&lt;60,"50-59",A144&gt;=60,"60+")</f>
        <v>60+</v>
      </c>
      <c r="U145" t="str">
        <f t="shared" si="17"/>
        <v>Normal</v>
      </c>
    </row>
    <row r="146" spans="1:21">
      <c r="A146">
        <v>47</v>
      </c>
      <c r="B146">
        <v>1</v>
      </c>
      <c r="C146">
        <v>0</v>
      </c>
      <c r="D146">
        <v>112</v>
      </c>
      <c r="E146">
        <v>204</v>
      </c>
      <c r="F146">
        <v>0</v>
      </c>
      <c r="G146">
        <v>1</v>
      </c>
      <c r="H146">
        <v>143</v>
      </c>
      <c r="I146">
        <v>0</v>
      </c>
      <c r="J146">
        <v>0.1</v>
      </c>
      <c r="K146">
        <v>2</v>
      </c>
      <c r="L146">
        <v>0</v>
      </c>
      <c r="M146">
        <v>2</v>
      </c>
      <c r="N146">
        <v>1</v>
      </c>
      <c r="O146" t="str">
        <f t="shared" si="12"/>
        <v>Male</v>
      </c>
      <c r="P146" t="str">
        <f t="shared" si="13"/>
        <v>Heart Disease</v>
      </c>
      <c r="Q146" t="str">
        <f t="shared" si="14"/>
        <v>Typical Angina</v>
      </c>
      <c r="R146" t="str">
        <f t="shared" si="15"/>
        <v>Normal</v>
      </c>
      <c r="S146" t="str">
        <f t="shared" si="16"/>
        <v>No</v>
      </c>
      <c r="T146" t="str" cm="1">
        <f t="array" ref="T146">_xlfn.IFS(A145&lt;30,"18-29",A145&lt;40,"30-39",A145&lt;50,"40-49",A145&lt;60,"50-59",A145&gt;=60,"60+")</f>
        <v>30-39</v>
      </c>
      <c r="U146" t="str">
        <f t="shared" si="17"/>
        <v>Normal</v>
      </c>
    </row>
    <row r="147" spans="1:21">
      <c r="A147">
        <v>40</v>
      </c>
      <c r="B147">
        <v>1</v>
      </c>
      <c r="C147">
        <v>0</v>
      </c>
      <c r="D147">
        <v>110</v>
      </c>
      <c r="E147">
        <v>167</v>
      </c>
      <c r="F147">
        <v>0</v>
      </c>
      <c r="G147">
        <v>0</v>
      </c>
      <c r="H147">
        <v>114</v>
      </c>
      <c r="I147">
        <v>1</v>
      </c>
      <c r="J147">
        <v>2</v>
      </c>
      <c r="K147">
        <v>1</v>
      </c>
      <c r="L147">
        <v>0</v>
      </c>
      <c r="M147">
        <v>3</v>
      </c>
      <c r="N147">
        <v>0</v>
      </c>
      <c r="O147" t="str">
        <f t="shared" si="12"/>
        <v>Male</v>
      </c>
      <c r="P147" t="str">
        <f t="shared" si="13"/>
        <v>No Disease</v>
      </c>
      <c r="Q147" t="str">
        <f t="shared" si="14"/>
        <v>Typical Angina</v>
      </c>
      <c r="R147" t="str">
        <f t="shared" si="15"/>
        <v>Normal</v>
      </c>
      <c r="S147" t="str">
        <f t="shared" si="16"/>
        <v>Yes</v>
      </c>
      <c r="T147" t="str" cm="1">
        <f t="array" ref="T147">_xlfn.IFS(A146&lt;30,"18-29",A146&lt;40,"30-39",A146&lt;50,"40-49",A146&lt;60,"50-59",A146&gt;=60,"60+")</f>
        <v>40-49</v>
      </c>
      <c r="U147" t="str">
        <f t="shared" si="17"/>
        <v>Normal</v>
      </c>
    </row>
    <row r="148" spans="1:21">
      <c r="A148">
        <v>51</v>
      </c>
      <c r="B148">
        <v>0</v>
      </c>
      <c r="C148">
        <v>2</v>
      </c>
      <c r="D148">
        <v>120</v>
      </c>
      <c r="E148">
        <v>295</v>
      </c>
      <c r="F148">
        <v>0</v>
      </c>
      <c r="G148">
        <v>0</v>
      </c>
      <c r="H148">
        <v>157</v>
      </c>
      <c r="I148">
        <v>0</v>
      </c>
      <c r="J148">
        <v>0.6</v>
      </c>
      <c r="K148">
        <v>2</v>
      </c>
      <c r="L148">
        <v>0</v>
      </c>
      <c r="M148">
        <v>2</v>
      </c>
      <c r="N148">
        <v>1</v>
      </c>
      <c r="O148" t="str">
        <f t="shared" si="12"/>
        <v>Female</v>
      </c>
      <c r="P148" t="str">
        <f t="shared" si="13"/>
        <v>Heart Disease</v>
      </c>
      <c r="Q148" t="str">
        <f t="shared" si="14"/>
        <v>Non-Anginal Pain</v>
      </c>
      <c r="R148" t="str">
        <f t="shared" si="15"/>
        <v>Normal</v>
      </c>
      <c r="S148" t="str">
        <f t="shared" si="16"/>
        <v>No</v>
      </c>
      <c r="T148" t="str" cm="1">
        <f t="array" ref="T148">_xlfn.IFS(A147&lt;30,"18-29",A147&lt;40,"30-39",A147&lt;50,"40-49",A147&lt;60,"50-59",A147&gt;=60,"60+")</f>
        <v>40-49</v>
      </c>
      <c r="U148" t="str">
        <f t="shared" si="17"/>
        <v>Elevated</v>
      </c>
    </row>
    <row r="149" spans="1:21">
      <c r="A149">
        <v>41</v>
      </c>
      <c r="B149">
        <v>1</v>
      </c>
      <c r="C149">
        <v>0</v>
      </c>
      <c r="D149">
        <v>110</v>
      </c>
      <c r="E149">
        <v>172</v>
      </c>
      <c r="F149">
        <v>0</v>
      </c>
      <c r="G149">
        <v>0</v>
      </c>
      <c r="H149">
        <v>158</v>
      </c>
      <c r="I149">
        <v>0</v>
      </c>
      <c r="J149">
        <v>0</v>
      </c>
      <c r="K149">
        <v>2</v>
      </c>
      <c r="L149">
        <v>0</v>
      </c>
      <c r="M149">
        <v>3</v>
      </c>
      <c r="N149">
        <v>0</v>
      </c>
      <c r="O149" t="str">
        <f t="shared" si="12"/>
        <v>Male</v>
      </c>
      <c r="P149" t="str">
        <f t="shared" si="13"/>
        <v>No Disease</v>
      </c>
      <c r="Q149" t="str">
        <f t="shared" si="14"/>
        <v>Typical Angina</v>
      </c>
      <c r="R149" t="str">
        <f t="shared" si="15"/>
        <v>Normal</v>
      </c>
      <c r="S149" t="str">
        <f t="shared" si="16"/>
        <v>No</v>
      </c>
      <c r="T149" t="str" cm="1">
        <f t="array" ref="T149">_xlfn.IFS(A148&lt;30,"18-29",A148&lt;40,"30-39",A148&lt;50,"40-49",A148&lt;60,"50-59",A148&gt;=60,"60+")</f>
        <v>50-59</v>
      </c>
      <c r="U149" t="str">
        <f t="shared" si="17"/>
        <v>Normal</v>
      </c>
    </row>
    <row r="150" spans="1:21">
      <c r="A150">
        <v>52</v>
      </c>
      <c r="B150">
        <v>1</v>
      </c>
      <c r="C150">
        <v>3</v>
      </c>
      <c r="D150">
        <v>152</v>
      </c>
      <c r="E150">
        <v>298</v>
      </c>
      <c r="F150">
        <v>1</v>
      </c>
      <c r="G150">
        <v>1</v>
      </c>
      <c r="H150">
        <v>178</v>
      </c>
      <c r="I150">
        <v>0</v>
      </c>
      <c r="J150">
        <v>1.2</v>
      </c>
      <c r="K150">
        <v>1</v>
      </c>
      <c r="L150">
        <v>0</v>
      </c>
      <c r="M150">
        <v>3</v>
      </c>
      <c r="N150">
        <v>1</v>
      </c>
      <c r="O150" t="str">
        <f t="shared" si="12"/>
        <v>Male</v>
      </c>
      <c r="P150" t="str">
        <f t="shared" si="13"/>
        <v>Heart Disease</v>
      </c>
      <c r="Q150" t="str">
        <f t="shared" si="14"/>
        <v>Asymptomatic</v>
      </c>
      <c r="R150" t="str">
        <f t="shared" si="15"/>
        <v>High</v>
      </c>
      <c r="S150" t="str">
        <f t="shared" si="16"/>
        <v>No</v>
      </c>
      <c r="T150" t="str" cm="1">
        <f t="array" ref="T150">_xlfn.IFS(A149&lt;30,"18-29",A149&lt;40,"30-39",A149&lt;50,"40-49",A149&lt;60,"50-59",A149&gt;=60,"60+")</f>
        <v>40-49</v>
      </c>
      <c r="U150" t="str">
        <f t="shared" si="17"/>
        <v>High (Stage 2)</v>
      </c>
    </row>
    <row r="151" spans="1:21">
      <c r="A151">
        <v>39</v>
      </c>
      <c r="B151">
        <v>1</v>
      </c>
      <c r="C151">
        <v>2</v>
      </c>
      <c r="D151">
        <v>140</v>
      </c>
      <c r="E151">
        <v>321</v>
      </c>
      <c r="F151">
        <v>0</v>
      </c>
      <c r="G151">
        <v>0</v>
      </c>
      <c r="H151">
        <v>182</v>
      </c>
      <c r="I151">
        <v>0</v>
      </c>
      <c r="J151">
        <v>0</v>
      </c>
      <c r="K151">
        <v>2</v>
      </c>
      <c r="L151">
        <v>0</v>
      </c>
      <c r="M151">
        <v>2</v>
      </c>
      <c r="N151">
        <v>1</v>
      </c>
      <c r="O151" t="str">
        <f t="shared" si="12"/>
        <v>Male</v>
      </c>
      <c r="P151" t="str">
        <f t="shared" si="13"/>
        <v>Heart Disease</v>
      </c>
      <c r="Q151" t="str">
        <f t="shared" si="14"/>
        <v>Non-Anginal Pain</v>
      </c>
      <c r="R151" t="str">
        <f t="shared" si="15"/>
        <v>Normal</v>
      </c>
      <c r="S151" t="str">
        <f t="shared" si="16"/>
        <v>No</v>
      </c>
      <c r="T151" t="str" cm="1">
        <f t="array" ref="T151">_xlfn.IFS(A150&lt;30,"18-29",A150&lt;40,"30-39",A150&lt;50,"40-49",A150&lt;60,"50-59",A150&gt;=60,"60+")</f>
        <v>50-59</v>
      </c>
      <c r="U151" t="str">
        <f t="shared" si="17"/>
        <v>High (Stage 2)</v>
      </c>
    </row>
    <row r="152" spans="1:21">
      <c r="A152">
        <v>58</v>
      </c>
      <c r="B152">
        <v>1</v>
      </c>
      <c r="C152">
        <v>0</v>
      </c>
      <c r="D152">
        <v>114</v>
      </c>
      <c r="E152">
        <v>318</v>
      </c>
      <c r="F152">
        <v>0</v>
      </c>
      <c r="G152">
        <v>2</v>
      </c>
      <c r="H152">
        <v>140</v>
      </c>
      <c r="I152">
        <v>0</v>
      </c>
      <c r="J152">
        <v>4.4000000000000004</v>
      </c>
      <c r="K152">
        <v>0</v>
      </c>
      <c r="L152">
        <v>3</v>
      </c>
      <c r="M152">
        <v>1</v>
      </c>
      <c r="N152">
        <v>0</v>
      </c>
      <c r="O152" t="str">
        <f t="shared" si="12"/>
        <v>Male</v>
      </c>
      <c r="P152" t="str">
        <f t="shared" si="13"/>
        <v>No Disease</v>
      </c>
      <c r="Q152" t="str">
        <f t="shared" si="14"/>
        <v>Typical Angina</v>
      </c>
      <c r="R152" t="str">
        <f t="shared" si="15"/>
        <v>Normal</v>
      </c>
      <c r="S152" t="str">
        <f t="shared" si="16"/>
        <v>No</v>
      </c>
      <c r="T152" t="str" cm="1">
        <f t="array" ref="T152">_xlfn.IFS(A151&lt;30,"18-29",A151&lt;40,"30-39",A151&lt;50,"40-49",A151&lt;60,"50-59",A151&gt;=60,"60+")</f>
        <v>30-39</v>
      </c>
      <c r="U152" t="str">
        <f t="shared" si="17"/>
        <v>Normal</v>
      </c>
    </row>
    <row r="153" spans="1:21">
      <c r="A153">
        <v>54</v>
      </c>
      <c r="B153">
        <v>1</v>
      </c>
      <c r="C153">
        <v>1</v>
      </c>
      <c r="D153">
        <v>192</v>
      </c>
      <c r="E153">
        <v>283</v>
      </c>
      <c r="F153">
        <v>0</v>
      </c>
      <c r="G153">
        <v>0</v>
      </c>
      <c r="H153">
        <v>195</v>
      </c>
      <c r="I153">
        <v>0</v>
      </c>
      <c r="J153">
        <v>0</v>
      </c>
      <c r="K153">
        <v>2</v>
      </c>
      <c r="L153">
        <v>1</v>
      </c>
      <c r="M153">
        <v>3</v>
      </c>
      <c r="N153">
        <v>0</v>
      </c>
      <c r="O153" t="str">
        <f t="shared" si="12"/>
        <v>Male</v>
      </c>
      <c r="P153" t="str">
        <f t="shared" si="13"/>
        <v>No Disease</v>
      </c>
      <c r="Q153" t="str">
        <f t="shared" si="14"/>
        <v>Atypical Angina</v>
      </c>
      <c r="R153" t="str">
        <f t="shared" si="15"/>
        <v>Normal</v>
      </c>
      <c r="S153" t="str">
        <f t="shared" si="16"/>
        <v>No</v>
      </c>
      <c r="T153" t="str" cm="1">
        <f t="array" ref="T153">_xlfn.IFS(A152&lt;30,"18-29",A152&lt;40,"30-39",A152&lt;50,"40-49",A152&lt;60,"50-59",A152&gt;=60,"60+")</f>
        <v>50-59</v>
      </c>
      <c r="U153" t="str">
        <f t="shared" si="17"/>
        <v>High (Stage 2)</v>
      </c>
    </row>
    <row r="154" spans="1:21">
      <c r="A154">
        <v>58</v>
      </c>
      <c r="B154">
        <v>1</v>
      </c>
      <c r="C154">
        <v>0</v>
      </c>
      <c r="D154">
        <v>125</v>
      </c>
      <c r="E154">
        <v>300</v>
      </c>
      <c r="F154">
        <v>0</v>
      </c>
      <c r="G154">
        <v>0</v>
      </c>
      <c r="H154">
        <v>171</v>
      </c>
      <c r="I154">
        <v>0</v>
      </c>
      <c r="J154">
        <v>0</v>
      </c>
      <c r="K154">
        <v>2</v>
      </c>
      <c r="L154">
        <v>2</v>
      </c>
      <c r="M154">
        <v>3</v>
      </c>
      <c r="N154">
        <v>0</v>
      </c>
      <c r="O154" t="str">
        <f t="shared" si="12"/>
        <v>Male</v>
      </c>
      <c r="P154" t="str">
        <f t="shared" si="13"/>
        <v>No Disease</v>
      </c>
      <c r="Q154" t="str">
        <f t="shared" si="14"/>
        <v>Typical Angina</v>
      </c>
      <c r="R154" t="str">
        <f t="shared" si="15"/>
        <v>Normal</v>
      </c>
      <c r="S154" t="str">
        <f t="shared" si="16"/>
        <v>No</v>
      </c>
      <c r="T154" t="str" cm="1">
        <f t="array" ref="T154">_xlfn.IFS(A153&lt;30,"18-29",A153&lt;40,"30-39",A153&lt;50,"40-49",A153&lt;60,"50-59",A153&gt;=60,"60+")</f>
        <v>50-59</v>
      </c>
      <c r="U154" t="str">
        <f t="shared" si="17"/>
        <v>Elevated</v>
      </c>
    </row>
    <row r="155" spans="1:21">
      <c r="A155">
        <v>54</v>
      </c>
      <c r="B155">
        <v>1</v>
      </c>
      <c r="C155">
        <v>2</v>
      </c>
      <c r="D155">
        <v>120</v>
      </c>
      <c r="E155">
        <v>258</v>
      </c>
      <c r="F155">
        <v>0</v>
      </c>
      <c r="G155">
        <v>0</v>
      </c>
      <c r="H155">
        <v>147</v>
      </c>
      <c r="I155">
        <v>0</v>
      </c>
      <c r="J155">
        <v>0.4</v>
      </c>
      <c r="K155">
        <v>1</v>
      </c>
      <c r="L155">
        <v>0</v>
      </c>
      <c r="M155">
        <v>3</v>
      </c>
      <c r="N155">
        <v>1</v>
      </c>
      <c r="O155" t="str">
        <f t="shared" si="12"/>
        <v>Male</v>
      </c>
      <c r="P155" t="str">
        <f t="shared" si="13"/>
        <v>Heart Disease</v>
      </c>
      <c r="Q155" t="str">
        <f t="shared" si="14"/>
        <v>Non-Anginal Pain</v>
      </c>
      <c r="R155" t="str">
        <f t="shared" si="15"/>
        <v>Normal</v>
      </c>
      <c r="S155" t="str">
        <f t="shared" si="16"/>
        <v>No</v>
      </c>
      <c r="T155" t="str" cm="1">
        <f t="array" ref="T155">_xlfn.IFS(A154&lt;30,"18-29",A154&lt;40,"30-39",A154&lt;50,"40-49",A154&lt;60,"50-59",A154&gt;=60,"60+")</f>
        <v>50-59</v>
      </c>
      <c r="U155" t="str">
        <f t="shared" si="17"/>
        <v>Elevated</v>
      </c>
    </row>
    <row r="156" spans="1:21">
      <c r="A156">
        <v>63</v>
      </c>
      <c r="B156">
        <v>1</v>
      </c>
      <c r="C156">
        <v>0</v>
      </c>
      <c r="D156">
        <v>130</v>
      </c>
      <c r="E156">
        <v>330</v>
      </c>
      <c r="F156">
        <v>1</v>
      </c>
      <c r="G156">
        <v>0</v>
      </c>
      <c r="H156">
        <v>132</v>
      </c>
      <c r="I156">
        <v>1</v>
      </c>
      <c r="J156">
        <v>1.8</v>
      </c>
      <c r="K156">
        <v>2</v>
      </c>
      <c r="L156">
        <v>3</v>
      </c>
      <c r="M156">
        <v>3</v>
      </c>
      <c r="N156">
        <v>0</v>
      </c>
      <c r="O156" t="str">
        <f t="shared" si="12"/>
        <v>Male</v>
      </c>
      <c r="P156" t="str">
        <f t="shared" si="13"/>
        <v>No Disease</v>
      </c>
      <c r="Q156" t="str">
        <f t="shared" si="14"/>
        <v>Typical Angina</v>
      </c>
      <c r="R156" t="str">
        <f t="shared" si="15"/>
        <v>High</v>
      </c>
      <c r="S156" t="str">
        <f t="shared" si="16"/>
        <v>Yes</v>
      </c>
      <c r="T156" t="str" cm="1">
        <f t="array" ref="T156">_xlfn.IFS(A155&lt;30,"18-29",A155&lt;40,"30-39",A155&lt;50,"40-49",A155&lt;60,"50-59",A155&gt;=60,"60+")</f>
        <v>50-59</v>
      </c>
      <c r="U156" t="str">
        <f t="shared" si="17"/>
        <v>High (Stage 1)</v>
      </c>
    </row>
    <row r="157" spans="1:21">
      <c r="A157">
        <v>54</v>
      </c>
      <c r="B157">
        <v>1</v>
      </c>
      <c r="C157">
        <v>1</v>
      </c>
      <c r="D157">
        <v>108</v>
      </c>
      <c r="E157">
        <v>309</v>
      </c>
      <c r="F157">
        <v>0</v>
      </c>
      <c r="G157">
        <v>1</v>
      </c>
      <c r="H157">
        <v>156</v>
      </c>
      <c r="I157">
        <v>0</v>
      </c>
      <c r="J157">
        <v>0</v>
      </c>
      <c r="K157">
        <v>2</v>
      </c>
      <c r="L157">
        <v>0</v>
      </c>
      <c r="M157">
        <v>3</v>
      </c>
      <c r="N157">
        <v>1</v>
      </c>
      <c r="O157" t="str">
        <f t="shared" si="12"/>
        <v>Male</v>
      </c>
      <c r="P157" t="str">
        <f t="shared" si="13"/>
        <v>Heart Disease</v>
      </c>
      <c r="Q157" t="str">
        <f t="shared" si="14"/>
        <v>Atypical Angina</v>
      </c>
      <c r="R157" t="str">
        <f t="shared" si="15"/>
        <v>Normal</v>
      </c>
      <c r="S157" t="str">
        <f t="shared" si="16"/>
        <v>No</v>
      </c>
      <c r="T157" t="str" cm="1">
        <f t="array" ref="T157">_xlfn.IFS(A156&lt;30,"18-29",A156&lt;40,"30-39",A156&lt;50,"40-49",A156&lt;60,"50-59",A156&gt;=60,"60+")</f>
        <v>60+</v>
      </c>
      <c r="U157" t="str">
        <f t="shared" si="17"/>
        <v>Normal</v>
      </c>
    </row>
    <row r="158" spans="1:21">
      <c r="A158">
        <v>40</v>
      </c>
      <c r="B158">
        <v>1</v>
      </c>
      <c r="C158">
        <v>3</v>
      </c>
      <c r="D158">
        <v>140</v>
      </c>
      <c r="E158">
        <v>199</v>
      </c>
      <c r="F158">
        <v>0</v>
      </c>
      <c r="G158">
        <v>1</v>
      </c>
      <c r="H158">
        <v>178</v>
      </c>
      <c r="I158">
        <v>1</v>
      </c>
      <c r="J158">
        <v>1.4</v>
      </c>
      <c r="K158">
        <v>2</v>
      </c>
      <c r="L158">
        <v>0</v>
      </c>
      <c r="M158">
        <v>3</v>
      </c>
      <c r="N158">
        <v>1</v>
      </c>
      <c r="O158" t="str">
        <f t="shared" si="12"/>
        <v>Male</v>
      </c>
      <c r="P158" t="str">
        <f t="shared" si="13"/>
        <v>Heart Disease</v>
      </c>
      <c r="Q158" t="str">
        <f t="shared" si="14"/>
        <v>Asymptomatic</v>
      </c>
      <c r="R158" t="str">
        <f t="shared" si="15"/>
        <v>Normal</v>
      </c>
      <c r="S158" t="str">
        <f t="shared" si="16"/>
        <v>Yes</v>
      </c>
      <c r="T158" t="str" cm="1">
        <f t="array" ref="T158">_xlfn.IFS(A157&lt;30,"18-29",A157&lt;40,"30-39",A157&lt;50,"40-49",A157&lt;60,"50-59",A157&gt;=60,"60+")</f>
        <v>50-59</v>
      </c>
      <c r="U158" t="str">
        <f t="shared" si="17"/>
        <v>High (Stage 2)</v>
      </c>
    </row>
    <row r="159" spans="1:21">
      <c r="A159">
        <v>54</v>
      </c>
      <c r="B159">
        <v>1</v>
      </c>
      <c r="C159">
        <v>2</v>
      </c>
      <c r="D159">
        <v>120</v>
      </c>
      <c r="E159">
        <v>258</v>
      </c>
      <c r="F159">
        <v>0</v>
      </c>
      <c r="G159">
        <v>0</v>
      </c>
      <c r="H159">
        <v>147</v>
      </c>
      <c r="I159">
        <v>0</v>
      </c>
      <c r="J159">
        <v>0.4</v>
      </c>
      <c r="K159">
        <v>1</v>
      </c>
      <c r="L159">
        <v>0</v>
      </c>
      <c r="M159">
        <v>3</v>
      </c>
      <c r="N159">
        <v>1</v>
      </c>
      <c r="O159" t="str">
        <f t="shared" si="12"/>
        <v>Male</v>
      </c>
      <c r="P159" t="str">
        <f t="shared" si="13"/>
        <v>Heart Disease</v>
      </c>
      <c r="Q159" t="str">
        <f t="shared" si="14"/>
        <v>Non-Anginal Pain</v>
      </c>
      <c r="R159" t="str">
        <f t="shared" si="15"/>
        <v>Normal</v>
      </c>
      <c r="S159" t="str">
        <f t="shared" si="16"/>
        <v>No</v>
      </c>
      <c r="T159" t="str" cm="1">
        <f t="array" ref="T159">_xlfn.IFS(A158&lt;30,"18-29",A158&lt;40,"30-39",A158&lt;50,"40-49",A158&lt;60,"50-59",A158&gt;=60,"60+")</f>
        <v>40-49</v>
      </c>
      <c r="U159" t="str">
        <f t="shared" si="17"/>
        <v>Elevated</v>
      </c>
    </row>
    <row r="160" spans="1:21">
      <c r="A160">
        <v>67</v>
      </c>
      <c r="B160">
        <v>0</v>
      </c>
      <c r="C160">
        <v>2</v>
      </c>
      <c r="D160">
        <v>115</v>
      </c>
      <c r="E160">
        <v>564</v>
      </c>
      <c r="F160">
        <v>0</v>
      </c>
      <c r="G160">
        <v>0</v>
      </c>
      <c r="H160">
        <v>160</v>
      </c>
      <c r="I160">
        <v>0</v>
      </c>
      <c r="J160">
        <v>1.6</v>
      </c>
      <c r="K160">
        <v>1</v>
      </c>
      <c r="L160">
        <v>0</v>
      </c>
      <c r="M160">
        <v>3</v>
      </c>
      <c r="N160">
        <v>1</v>
      </c>
      <c r="O160" t="str">
        <f t="shared" si="12"/>
        <v>Female</v>
      </c>
      <c r="P160" t="str">
        <f t="shared" si="13"/>
        <v>Heart Disease</v>
      </c>
      <c r="Q160" t="str">
        <f t="shared" si="14"/>
        <v>Non-Anginal Pain</v>
      </c>
      <c r="R160" t="str">
        <f t="shared" si="15"/>
        <v>Normal</v>
      </c>
      <c r="S160" t="str">
        <f t="shared" si="16"/>
        <v>No</v>
      </c>
      <c r="T160" t="str" cm="1">
        <f t="array" ref="T160">_xlfn.IFS(A159&lt;30,"18-29",A159&lt;40,"30-39",A159&lt;50,"40-49",A159&lt;60,"50-59",A159&gt;=60,"60+")</f>
        <v>50-59</v>
      </c>
      <c r="U160" t="str">
        <f t="shared" si="17"/>
        <v>Normal</v>
      </c>
    </row>
    <row r="161" spans="1:21">
      <c r="A161">
        <v>41</v>
      </c>
      <c r="B161">
        <v>1</v>
      </c>
      <c r="C161">
        <v>1</v>
      </c>
      <c r="D161">
        <v>120</v>
      </c>
      <c r="E161">
        <v>157</v>
      </c>
      <c r="F161">
        <v>0</v>
      </c>
      <c r="G161">
        <v>1</v>
      </c>
      <c r="H161">
        <v>182</v>
      </c>
      <c r="I161">
        <v>0</v>
      </c>
      <c r="J161">
        <v>0</v>
      </c>
      <c r="K161">
        <v>2</v>
      </c>
      <c r="L161">
        <v>0</v>
      </c>
      <c r="M161">
        <v>2</v>
      </c>
      <c r="N161">
        <v>1</v>
      </c>
      <c r="O161" t="str">
        <f t="shared" si="12"/>
        <v>Male</v>
      </c>
      <c r="P161" t="str">
        <f t="shared" si="13"/>
        <v>Heart Disease</v>
      </c>
      <c r="Q161" t="str">
        <f t="shared" si="14"/>
        <v>Atypical Angina</v>
      </c>
      <c r="R161" t="str">
        <f t="shared" si="15"/>
        <v>Normal</v>
      </c>
      <c r="S161" t="str">
        <f t="shared" si="16"/>
        <v>No</v>
      </c>
      <c r="T161" t="str" cm="1">
        <f t="array" ref="T161">_xlfn.IFS(A160&lt;30,"18-29",A160&lt;40,"30-39",A160&lt;50,"40-49",A160&lt;60,"50-59",A160&gt;=60,"60+")</f>
        <v>60+</v>
      </c>
      <c r="U161" t="str">
        <f t="shared" si="17"/>
        <v>Elevated</v>
      </c>
    </row>
    <row r="162" spans="1:21">
      <c r="A162">
        <v>77</v>
      </c>
      <c r="B162">
        <v>1</v>
      </c>
      <c r="C162">
        <v>0</v>
      </c>
      <c r="D162">
        <v>125</v>
      </c>
      <c r="E162">
        <v>304</v>
      </c>
      <c r="F162">
        <v>0</v>
      </c>
      <c r="G162">
        <v>0</v>
      </c>
      <c r="H162">
        <v>162</v>
      </c>
      <c r="I162">
        <v>1</v>
      </c>
      <c r="J162">
        <v>0</v>
      </c>
      <c r="K162">
        <v>2</v>
      </c>
      <c r="L162">
        <v>3</v>
      </c>
      <c r="M162">
        <v>2</v>
      </c>
      <c r="N162">
        <v>0</v>
      </c>
      <c r="O162" t="str">
        <f t="shared" si="12"/>
        <v>Male</v>
      </c>
      <c r="P162" t="str">
        <f t="shared" si="13"/>
        <v>No Disease</v>
      </c>
      <c r="Q162" t="str">
        <f t="shared" si="14"/>
        <v>Typical Angina</v>
      </c>
      <c r="R162" t="str">
        <f t="shared" si="15"/>
        <v>Normal</v>
      </c>
      <c r="S162" t="str">
        <f t="shared" si="16"/>
        <v>Yes</v>
      </c>
      <c r="T162" t="str" cm="1">
        <f t="array" ref="T162">_xlfn.IFS(A161&lt;30,"18-29",A161&lt;40,"30-39",A161&lt;50,"40-49",A161&lt;60,"50-59",A161&gt;=60,"60+")</f>
        <v>40-49</v>
      </c>
      <c r="U162" t="str">
        <f t="shared" si="17"/>
        <v>Elevated</v>
      </c>
    </row>
    <row r="163" spans="1:21">
      <c r="A163">
        <v>51</v>
      </c>
      <c r="B163">
        <v>1</v>
      </c>
      <c r="C163">
        <v>2</v>
      </c>
      <c r="D163">
        <v>100</v>
      </c>
      <c r="E163">
        <v>222</v>
      </c>
      <c r="F163">
        <v>0</v>
      </c>
      <c r="G163">
        <v>1</v>
      </c>
      <c r="H163">
        <v>143</v>
      </c>
      <c r="I163">
        <v>1</v>
      </c>
      <c r="J163">
        <v>1.2</v>
      </c>
      <c r="K163">
        <v>1</v>
      </c>
      <c r="L163">
        <v>0</v>
      </c>
      <c r="M163">
        <v>2</v>
      </c>
      <c r="N163">
        <v>1</v>
      </c>
      <c r="O163" t="str">
        <f t="shared" si="12"/>
        <v>Male</v>
      </c>
      <c r="P163" t="str">
        <f t="shared" si="13"/>
        <v>Heart Disease</v>
      </c>
      <c r="Q163" t="str">
        <f t="shared" si="14"/>
        <v>Non-Anginal Pain</v>
      </c>
      <c r="R163" t="str">
        <f t="shared" si="15"/>
        <v>Normal</v>
      </c>
      <c r="S163" t="str">
        <f t="shared" si="16"/>
        <v>Yes</v>
      </c>
      <c r="T163" t="str" cm="1">
        <f t="array" ref="T163">_xlfn.IFS(A162&lt;30,"18-29",A162&lt;40,"30-39",A162&lt;50,"40-49",A162&lt;60,"50-59",A162&gt;=60,"60+")</f>
        <v>60+</v>
      </c>
      <c r="U163" t="str">
        <f t="shared" si="17"/>
        <v>Normal</v>
      </c>
    </row>
    <row r="164" spans="1:21">
      <c r="A164">
        <v>77</v>
      </c>
      <c r="B164">
        <v>1</v>
      </c>
      <c r="C164">
        <v>0</v>
      </c>
      <c r="D164">
        <v>125</v>
      </c>
      <c r="E164">
        <v>304</v>
      </c>
      <c r="F164">
        <v>0</v>
      </c>
      <c r="G164">
        <v>0</v>
      </c>
      <c r="H164">
        <v>162</v>
      </c>
      <c r="I164">
        <v>1</v>
      </c>
      <c r="J164">
        <v>0</v>
      </c>
      <c r="K164">
        <v>2</v>
      </c>
      <c r="L164">
        <v>3</v>
      </c>
      <c r="M164">
        <v>2</v>
      </c>
      <c r="N164">
        <v>0</v>
      </c>
      <c r="O164" t="str">
        <f t="shared" si="12"/>
        <v>Male</v>
      </c>
      <c r="P164" t="str">
        <f t="shared" si="13"/>
        <v>No Disease</v>
      </c>
      <c r="Q164" t="str">
        <f t="shared" si="14"/>
        <v>Typical Angina</v>
      </c>
      <c r="R164" t="str">
        <f t="shared" si="15"/>
        <v>Normal</v>
      </c>
      <c r="S164" t="str">
        <f t="shared" si="16"/>
        <v>Yes</v>
      </c>
      <c r="T164" t="str" cm="1">
        <f t="array" ref="T164">_xlfn.IFS(A163&lt;30,"18-29",A163&lt;40,"30-39",A163&lt;50,"40-49",A163&lt;60,"50-59",A163&gt;=60,"60+")</f>
        <v>50-59</v>
      </c>
      <c r="U164" t="str">
        <f t="shared" si="17"/>
        <v>Elevated</v>
      </c>
    </row>
    <row r="165" spans="1:21">
      <c r="A165">
        <v>48</v>
      </c>
      <c r="B165">
        <v>1</v>
      </c>
      <c r="C165">
        <v>0</v>
      </c>
      <c r="D165">
        <v>124</v>
      </c>
      <c r="E165">
        <v>274</v>
      </c>
      <c r="F165">
        <v>0</v>
      </c>
      <c r="G165">
        <v>0</v>
      </c>
      <c r="H165">
        <v>166</v>
      </c>
      <c r="I165">
        <v>0</v>
      </c>
      <c r="J165">
        <v>0.5</v>
      </c>
      <c r="K165">
        <v>1</v>
      </c>
      <c r="L165">
        <v>0</v>
      </c>
      <c r="M165">
        <v>3</v>
      </c>
      <c r="N165">
        <v>0</v>
      </c>
      <c r="O165" t="str">
        <f t="shared" si="12"/>
        <v>Male</v>
      </c>
      <c r="P165" t="str">
        <f t="shared" si="13"/>
        <v>No Disease</v>
      </c>
      <c r="Q165" t="str">
        <f t="shared" si="14"/>
        <v>Typical Angina</v>
      </c>
      <c r="R165" t="str">
        <f t="shared" si="15"/>
        <v>Normal</v>
      </c>
      <c r="S165" t="str">
        <f t="shared" si="16"/>
        <v>No</v>
      </c>
      <c r="T165" t="str" cm="1">
        <f t="array" ref="T165">_xlfn.IFS(A164&lt;30,"18-29",A164&lt;40,"30-39",A164&lt;50,"40-49",A164&lt;60,"50-59",A164&gt;=60,"60+")</f>
        <v>60+</v>
      </c>
      <c r="U165" t="str">
        <f t="shared" si="17"/>
        <v>Elevated</v>
      </c>
    </row>
    <row r="166" spans="1:21">
      <c r="A166">
        <v>56</v>
      </c>
      <c r="B166">
        <v>1</v>
      </c>
      <c r="C166">
        <v>0</v>
      </c>
      <c r="D166">
        <v>125</v>
      </c>
      <c r="E166">
        <v>249</v>
      </c>
      <c r="F166">
        <v>1</v>
      </c>
      <c r="G166">
        <v>0</v>
      </c>
      <c r="H166">
        <v>144</v>
      </c>
      <c r="I166">
        <v>1</v>
      </c>
      <c r="J166">
        <v>1.2</v>
      </c>
      <c r="K166">
        <v>1</v>
      </c>
      <c r="L166">
        <v>1</v>
      </c>
      <c r="M166">
        <v>2</v>
      </c>
      <c r="N166">
        <v>0</v>
      </c>
      <c r="O166" t="str">
        <f t="shared" si="12"/>
        <v>Male</v>
      </c>
      <c r="P166" t="str">
        <f t="shared" si="13"/>
        <v>No Disease</v>
      </c>
      <c r="Q166" t="str">
        <f t="shared" si="14"/>
        <v>Typical Angina</v>
      </c>
      <c r="R166" t="str">
        <f t="shared" si="15"/>
        <v>High</v>
      </c>
      <c r="S166" t="str">
        <f t="shared" si="16"/>
        <v>Yes</v>
      </c>
      <c r="T166" t="str" cm="1">
        <f t="array" ref="T166">_xlfn.IFS(A165&lt;30,"18-29",A165&lt;40,"30-39",A165&lt;50,"40-49",A165&lt;60,"50-59",A165&gt;=60,"60+")</f>
        <v>40-49</v>
      </c>
      <c r="U166" t="str">
        <f t="shared" si="17"/>
        <v>Elevated</v>
      </c>
    </row>
    <row r="167" spans="1:21">
      <c r="A167">
        <v>59</v>
      </c>
      <c r="B167">
        <v>1</v>
      </c>
      <c r="C167">
        <v>0</v>
      </c>
      <c r="D167">
        <v>170</v>
      </c>
      <c r="E167">
        <v>326</v>
      </c>
      <c r="F167">
        <v>0</v>
      </c>
      <c r="G167">
        <v>0</v>
      </c>
      <c r="H167">
        <v>140</v>
      </c>
      <c r="I167">
        <v>1</v>
      </c>
      <c r="J167">
        <v>3.4</v>
      </c>
      <c r="K167">
        <v>0</v>
      </c>
      <c r="L167">
        <v>0</v>
      </c>
      <c r="M167">
        <v>3</v>
      </c>
      <c r="N167">
        <v>0</v>
      </c>
      <c r="O167" t="str">
        <f t="shared" si="12"/>
        <v>Male</v>
      </c>
      <c r="P167" t="str">
        <f t="shared" si="13"/>
        <v>No Disease</v>
      </c>
      <c r="Q167" t="str">
        <f t="shared" si="14"/>
        <v>Typical Angina</v>
      </c>
      <c r="R167" t="str">
        <f t="shared" si="15"/>
        <v>Normal</v>
      </c>
      <c r="S167" t="str">
        <f t="shared" si="16"/>
        <v>Yes</v>
      </c>
      <c r="T167" t="str" cm="1">
        <f t="array" ref="T167">_xlfn.IFS(A166&lt;30,"18-29",A166&lt;40,"30-39",A166&lt;50,"40-49",A166&lt;60,"50-59",A166&gt;=60,"60+")</f>
        <v>50-59</v>
      </c>
      <c r="U167" t="str">
        <f t="shared" si="17"/>
        <v>High (Stage 2)</v>
      </c>
    </row>
    <row r="168" spans="1:21">
      <c r="A168">
        <v>56</v>
      </c>
      <c r="B168">
        <v>1</v>
      </c>
      <c r="C168">
        <v>0</v>
      </c>
      <c r="D168">
        <v>132</v>
      </c>
      <c r="E168">
        <v>184</v>
      </c>
      <c r="F168">
        <v>0</v>
      </c>
      <c r="G168">
        <v>0</v>
      </c>
      <c r="H168">
        <v>105</v>
      </c>
      <c r="I168">
        <v>1</v>
      </c>
      <c r="J168">
        <v>2.1</v>
      </c>
      <c r="K168">
        <v>1</v>
      </c>
      <c r="L168">
        <v>1</v>
      </c>
      <c r="M168">
        <v>1</v>
      </c>
      <c r="N168">
        <v>0</v>
      </c>
      <c r="O168" t="str">
        <f t="shared" si="12"/>
        <v>Male</v>
      </c>
      <c r="P168" t="str">
        <f t="shared" si="13"/>
        <v>No Disease</v>
      </c>
      <c r="Q168" t="str">
        <f t="shared" si="14"/>
        <v>Typical Angina</v>
      </c>
      <c r="R168" t="str">
        <f t="shared" si="15"/>
        <v>Normal</v>
      </c>
      <c r="S168" t="str">
        <f t="shared" si="16"/>
        <v>Yes</v>
      </c>
      <c r="T168" t="str" cm="1">
        <f t="array" ref="T168">_xlfn.IFS(A167&lt;30,"18-29",A167&lt;40,"30-39",A167&lt;50,"40-49",A167&lt;60,"50-59",A167&gt;=60,"60+")</f>
        <v>50-59</v>
      </c>
      <c r="U168" t="str">
        <f t="shared" si="17"/>
        <v>High (Stage 1)</v>
      </c>
    </row>
    <row r="169" spans="1:21">
      <c r="A169">
        <v>57</v>
      </c>
      <c r="B169">
        <v>0</v>
      </c>
      <c r="C169">
        <v>0</v>
      </c>
      <c r="D169">
        <v>120</v>
      </c>
      <c r="E169">
        <v>354</v>
      </c>
      <c r="F169">
        <v>0</v>
      </c>
      <c r="G169">
        <v>1</v>
      </c>
      <c r="H169">
        <v>163</v>
      </c>
      <c r="I169">
        <v>1</v>
      </c>
      <c r="J169">
        <v>0.6</v>
      </c>
      <c r="K169">
        <v>2</v>
      </c>
      <c r="L169">
        <v>0</v>
      </c>
      <c r="M169">
        <v>2</v>
      </c>
      <c r="N169">
        <v>1</v>
      </c>
      <c r="O169" t="str">
        <f t="shared" si="12"/>
        <v>Female</v>
      </c>
      <c r="P169" t="str">
        <f t="shared" si="13"/>
        <v>Heart Disease</v>
      </c>
      <c r="Q169" t="str">
        <f t="shared" si="14"/>
        <v>Typical Angina</v>
      </c>
      <c r="R169" t="str">
        <f t="shared" si="15"/>
        <v>Normal</v>
      </c>
      <c r="S169" t="str">
        <f t="shared" si="16"/>
        <v>Yes</v>
      </c>
      <c r="T169" t="str" cm="1">
        <f t="array" ref="T169">_xlfn.IFS(A168&lt;30,"18-29",A168&lt;40,"30-39",A168&lt;50,"40-49",A168&lt;60,"50-59",A168&gt;=60,"60+")</f>
        <v>50-59</v>
      </c>
      <c r="U169" t="str">
        <f t="shared" si="17"/>
        <v>Elevated</v>
      </c>
    </row>
    <row r="170" spans="1:21">
      <c r="A170">
        <v>43</v>
      </c>
      <c r="B170">
        <v>1</v>
      </c>
      <c r="C170">
        <v>2</v>
      </c>
      <c r="D170">
        <v>130</v>
      </c>
      <c r="E170">
        <v>315</v>
      </c>
      <c r="F170">
        <v>0</v>
      </c>
      <c r="G170">
        <v>1</v>
      </c>
      <c r="H170">
        <v>162</v>
      </c>
      <c r="I170">
        <v>0</v>
      </c>
      <c r="J170">
        <v>1.9</v>
      </c>
      <c r="K170">
        <v>2</v>
      </c>
      <c r="L170">
        <v>1</v>
      </c>
      <c r="M170">
        <v>2</v>
      </c>
      <c r="N170">
        <v>1</v>
      </c>
      <c r="O170" t="str">
        <f t="shared" si="12"/>
        <v>Male</v>
      </c>
      <c r="P170" t="str">
        <f t="shared" si="13"/>
        <v>Heart Disease</v>
      </c>
      <c r="Q170" t="str">
        <f t="shared" si="14"/>
        <v>Non-Anginal Pain</v>
      </c>
      <c r="R170" t="str">
        <f t="shared" si="15"/>
        <v>Normal</v>
      </c>
      <c r="S170" t="str">
        <f t="shared" si="16"/>
        <v>No</v>
      </c>
      <c r="T170" t="str" cm="1">
        <f t="array" ref="T170">_xlfn.IFS(A169&lt;30,"18-29",A169&lt;40,"30-39",A169&lt;50,"40-49",A169&lt;60,"50-59",A169&gt;=60,"60+")</f>
        <v>50-59</v>
      </c>
      <c r="U170" t="str">
        <f t="shared" si="17"/>
        <v>High (Stage 1)</v>
      </c>
    </row>
    <row r="171" spans="1:21">
      <c r="A171">
        <v>45</v>
      </c>
      <c r="B171">
        <v>0</v>
      </c>
      <c r="C171">
        <v>1</v>
      </c>
      <c r="D171">
        <v>112</v>
      </c>
      <c r="E171">
        <v>160</v>
      </c>
      <c r="F171">
        <v>0</v>
      </c>
      <c r="G171">
        <v>1</v>
      </c>
      <c r="H171">
        <v>138</v>
      </c>
      <c r="I171">
        <v>0</v>
      </c>
      <c r="J171">
        <v>0</v>
      </c>
      <c r="K171">
        <v>1</v>
      </c>
      <c r="L171">
        <v>0</v>
      </c>
      <c r="M171">
        <v>2</v>
      </c>
      <c r="N171">
        <v>1</v>
      </c>
      <c r="O171" t="str">
        <f t="shared" si="12"/>
        <v>Female</v>
      </c>
      <c r="P171" t="str">
        <f t="shared" si="13"/>
        <v>Heart Disease</v>
      </c>
      <c r="Q171" t="str">
        <f t="shared" si="14"/>
        <v>Atypical Angina</v>
      </c>
      <c r="R171" t="str">
        <f t="shared" si="15"/>
        <v>Normal</v>
      </c>
      <c r="S171" t="str">
        <f t="shared" si="16"/>
        <v>No</v>
      </c>
      <c r="T171" t="str" cm="1">
        <f t="array" ref="T171">_xlfn.IFS(A170&lt;30,"18-29",A170&lt;40,"30-39",A170&lt;50,"40-49",A170&lt;60,"50-59",A170&gt;=60,"60+")</f>
        <v>40-49</v>
      </c>
      <c r="U171" t="str">
        <f t="shared" si="17"/>
        <v>Normal</v>
      </c>
    </row>
    <row r="172" spans="1:21">
      <c r="A172">
        <v>43</v>
      </c>
      <c r="B172">
        <v>1</v>
      </c>
      <c r="C172">
        <v>0</v>
      </c>
      <c r="D172">
        <v>150</v>
      </c>
      <c r="E172">
        <v>247</v>
      </c>
      <c r="F172">
        <v>0</v>
      </c>
      <c r="G172">
        <v>1</v>
      </c>
      <c r="H172">
        <v>171</v>
      </c>
      <c r="I172">
        <v>0</v>
      </c>
      <c r="J172">
        <v>1.5</v>
      </c>
      <c r="K172">
        <v>2</v>
      </c>
      <c r="L172">
        <v>0</v>
      </c>
      <c r="M172">
        <v>2</v>
      </c>
      <c r="N172">
        <v>1</v>
      </c>
      <c r="O172" t="str">
        <f t="shared" si="12"/>
        <v>Male</v>
      </c>
      <c r="P172" t="str">
        <f t="shared" si="13"/>
        <v>Heart Disease</v>
      </c>
      <c r="Q172" t="str">
        <f t="shared" si="14"/>
        <v>Typical Angina</v>
      </c>
      <c r="R172" t="str">
        <f t="shared" si="15"/>
        <v>Normal</v>
      </c>
      <c r="S172" t="str">
        <f t="shared" si="16"/>
        <v>No</v>
      </c>
      <c r="T172" t="str" cm="1">
        <f t="array" ref="T172">_xlfn.IFS(A171&lt;30,"18-29",A171&lt;40,"30-39",A171&lt;50,"40-49",A171&lt;60,"50-59",A171&gt;=60,"60+")</f>
        <v>40-49</v>
      </c>
      <c r="U172" t="str">
        <f t="shared" si="17"/>
        <v>High (Stage 2)</v>
      </c>
    </row>
    <row r="173" spans="1:21">
      <c r="A173">
        <v>56</v>
      </c>
      <c r="B173">
        <v>1</v>
      </c>
      <c r="C173">
        <v>0</v>
      </c>
      <c r="D173">
        <v>130</v>
      </c>
      <c r="E173">
        <v>283</v>
      </c>
      <c r="F173">
        <v>1</v>
      </c>
      <c r="G173">
        <v>0</v>
      </c>
      <c r="H173">
        <v>103</v>
      </c>
      <c r="I173">
        <v>1</v>
      </c>
      <c r="J173">
        <v>1.6</v>
      </c>
      <c r="K173">
        <v>0</v>
      </c>
      <c r="L173">
        <v>0</v>
      </c>
      <c r="M173">
        <v>3</v>
      </c>
      <c r="N173">
        <v>0</v>
      </c>
      <c r="O173" t="str">
        <f t="shared" si="12"/>
        <v>Male</v>
      </c>
      <c r="P173" t="str">
        <f t="shared" si="13"/>
        <v>No Disease</v>
      </c>
      <c r="Q173" t="str">
        <f t="shared" si="14"/>
        <v>Typical Angina</v>
      </c>
      <c r="R173" t="str">
        <f t="shared" si="15"/>
        <v>High</v>
      </c>
      <c r="S173" t="str">
        <f t="shared" si="16"/>
        <v>Yes</v>
      </c>
      <c r="T173" t="str" cm="1">
        <f t="array" ref="T173">_xlfn.IFS(A172&lt;30,"18-29",A172&lt;40,"30-39",A172&lt;50,"40-49",A172&lt;60,"50-59",A172&gt;=60,"60+")</f>
        <v>40-49</v>
      </c>
      <c r="U173" t="str">
        <f t="shared" si="17"/>
        <v>High (Stage 1)</v>
      </c>
    </row>
    <row r="174" spans="1:21">
      <c r="A174">
        <v>56</v>
      </c>
      <c r="B174">
        <v>1</v>
      </c>
      <c r="C174">
        <v>1</v>
      </c>
      <c r="D174">
        <v>120</v>
      </c>
      <c r="E174">
        <v>240</v>
      </c>
      <c r="F174">
        <v>0</v>
      </c>
      <c r="G174">
        <v>1</v>
      </c>
      <c r="H174">
        <v>169</v>
      </c>
      <c r="I174">
        <v>0</v>
      </c>
      <c r="J174">
        <v>0</v>
      </c>
      <c r="K174">
        <v>0</v>
      </c>
      <c r="L174">
        <v>0</v>
      </c>
      <c r="M174">
        <v>2</v>
      </c>
      <c r="N174">
        <v>1</v>
      </c>
      <c r="O174" t="str">
        <f t="shared" si="12"/>
        <v>Male</v>
      </c>
      <c r="P174" t="str">
        <f t="shared" si="13"/>
        <v>Heart Disease</v>
      </c>
      <c r="Q174" t="str">
        <f t="shared" si="14"/>
        <v>Atypical Angina</v>
      </c>
      <c r="R174" t="str">
        <f t="shared" si="15"/>
        <v>Normal</v>
      </c>
      <c r="S174" t="str">
        <f t="shared" si="16"/>
        <v>No</v>
      </c>
      <c r="T174" t="str" cm="1">
        <f t="array" ref="T174">_xlfn.IFS(A173&lt;30,"18-29",A173&lt;40,"30-39",A173&lt;50,"40-49",A173&lt;60,"50-59",A173&gt;=60,"60+")</f>
        <v>50-59</v>
      </c>
      <c r="U174" t="str">
        <f t="shared" si="17"/>
        <v>Elevated</v>
      </c>
    </row>
    <row r="175" spans="1:21">
      <c r="A175">
        <v>39</v>
      </c>
      <c r="B175">
        <v>0</v>
      </c>
      <c r="C175">
        <v>2</v>
      </c>
      <c r="D175">
        <v>94</v>
      </c>
      <c r="E175">
        <v>199</v>
      </c>
      <c r="F175">
        <v>0</v>
      </c>
      <c r="G175">
        <v>1</v>
      </c>
      <c r="H175">
        <v>179</v>
      </c>
      <c r="I175">
        <v>0</v>
      </c>
      <c r="J175">
        <v>0</v>
      </c>
      <c r="K175">
        <v>2</v>
      </c>
      <c r="L175">
        <v>0</v>
      </c>
      <c r="M175">
        <v>2</v>
      </c>
      <c r="N175">
        <v>1</v>
      </c>
      <c r="O175" t="str">
        <f t="shared" si="12"/>
        <v>Female</v>
      </c>
      <c r="P175" t="str">
        <f t="shared" si="13"/>
        <v>Heart Disease</v>
      </c>
      <c r="Q175" t="str">
        <f t="shared" si="14"/>
        <v>Non-Anginal Pain</v>
      </c>
      <c r="R175" t="str">
        <f t="shared" si="15"/>
        <v>Normal</v>
      </c>
      <c r="S175" t="str">
        <f t="shared" si="16"/>
        <v>No</v>
      </c>
      <c r="T175" t="str" cm="1">
        <f t="array" ref="T175">_xlfn.IFS(A174&lt;30,"18-29",A174&lt;40,"30-39",A174&lt;50,"40-49",A174&lt;60,"50-59",A174&gt;=60,"60+")</f>
        <v>50-59</v>
      </c>
      <c r="U175" t="str">
        <f t="shared" si="17"/>
        <v>Normal</v>
      </c>
    </row>
    <row r="176" spans="1:21">
      <c r="A176">
        <v>54</v>
      </c>
      <c r="B176">
        <v>1</v>
      </c>
      <c r="C176">
        <v>0</v>
      </c>
      <c r="D176">
        <v>110</v>
      </c>
      <c r="E176">
        <v>239</v>
      </c>
      <c r="F176">
        <v>0</v>
      </c>
      <c r="G176">
        <v>1</v>
      </c>
      <c r="H176">
        <v>126</v>
      </c>
      <c r="I176">
        <v>1</v>
      </c>
      <c r="J176">
        <v>2.8</v>
      </c>
      <c r="K176">
        <v>1</v>
      </c>
      <c r="L176">
        <v>1</v>
      </c>
      <c r="M176">
        <v>3</v>
      </c>
      <c r="N176">
        <v>0</v>
      </c>
      <c r="O176" t="str">
        <f t="shared" si="12"/>
        <v>Male</v>
      </c>
      <c r="P176" t="str">
        <f t="shared" si="13"/>
        <v>No Disease</v>
      </c>
      <c r="Q176" t="str">
        <f t="shared" si="14"/>
        <v>Typical Angina</v>
      </c>
      <c r="R176" t="str">
        <f t="shared" si="15"/>
        <v>Normal</v>
      </c>
      <c r="S176" t="str">
        <f t="shared" si="16"/>
        <v>Yes</v>
      </c>
      <c r="T176" t="str" cm="1">
        <f t="array" ref="T176">_xlfn.IFS(A175&lt;30,"18-29",A175&lt;40,"30-39",A175&lt;50,"40-49",A175&lt;60,"50-59",A175&gt;=60,"60+")</f>
        <v>30-39</v>
      </c>
      <c r="U176" t="str">
        <f t="shared" si="17"/>
        <v>Normal</v>
      </c>
    </row>
    <row r="177" spans="1:21">
      <c r="A177">
        <v>56</v>
      </c>
      <c r="B177">
        <v>0</v>
      </c>
      <c r="C177">
        <v>0</v>
      </c>
      <c r="D177">
        <v>200</v>
      </c>
      <c r="E177">
        <v>288</v>
      </c>
      <c r="F177">
        <v>1</v>
      </c>
      <c r="G177">
        <v>0</v>
      </c>
      <c r="H177">
        <v>133</v>
      </c>
      <c r="I177">
        <v>1</v>
      </c>
      <c r="J177">
        <v>4</v>
      </c>
      <c r="K177">
        <v>0</v>
      </c>
      <c r="L177">
        <v>2</v>
      </c>
      <c r="M177">
        <v>3</v>
      </c>
      <c r="N177">
        <v>0</v>
      </c>
      <c r="O177" t="str">
        <f t="shared" si="12"/>
        <v>Female</v>
      </c>
      <c r="P177" t="str">
        <f t="shared" si="13"/>
        <v>No Disease</v>
      </c>
      <c r="Q177" t="str">
        <f t="shared" si="14"/>
        <v>Typical Angina</v>
      </c>
      <c r="R177" t="str">
        <f t="shared" si="15"/>
        <v>High</v>
      </c>
      <c r="S177" t="str">
        <f t="shared" si="16"/>
        <v>Yes</v>
      </c>
      <c r="T177" t="str" cm="1">
        <f t="array" ref="T177">_xlfn.IFS(A176&lt;30,"18-29",A176&lt;40,"30-39",A176&lt;50,"40-49",A176&lt;60,"50-59",A176&gt;=60,"60+")</f>
        <v>50-59</v>
      </c>
      <c r="U177" t="str">
        <f t="shared" si="17"/>
        <v>High (Stage 2)</v>
      </c>
    </row>
    <row r="178" spans="1:21">
      <c r="A178">
        <v>56</v>
      </c>
      <c r="B178">
        <v>1</v>
      </c>
      <c r="C178">
        <v>0</v>
      </c>
      <c r="D178">
        <v>130</v>
      </c>
      <c r="E178">
        <v>283</v>
      </c>
      <c r="F178">
        <v>1</v>
      </c>
      <c r="G178">
        <v>0</v>
      </c>
      <c r="H178">
        <v>103</v>
      </c>
      <c r="I178">
        <v>1</v>
      </c>
      <c r="J178">
        <v>1.6</v>
      </c>
      <c r="K178">
        <v>0</v>
      </c>
      <c r="L178">
        <v>0</v>
      </c>
      <c r="M178">
        <v>3</v>
      </c>
      <c r="N178">
        <v>0</v>
      </c>
      <c r="O178" t="str">
        <f t="shared" si="12"/>
        <v>Male</v>
      </c>
      <c r="P178" t="str">
        <f t="shared" si="13"/>
        <v>No Disease</v>
      </c>
      <c r="Q178" t="str">
        <f t="shared" si="14"/>
        <v>Typical Angina</v>
      </c>
      <c r="R178" t="str">
        <f t="shared" si="15"/>
        <v>High</v>
      </c>
      <c r="S178" t="str">
        <f t="shared" si="16"/>
        <v>Yes</v>
      </c>
      <c r="T178" t="str" cm="1">
        <f t="array" ref="T178">_xlfn.IFS(A177&lt;30,"18-29",A177&lt;40,"30-39",A177&lt;50,"40-49",A177&lt;60,"50-59",A177&gt;=60,"60+")</f>
        <v>50-59</v>
      </c>
      <c r="U178" t="str">
        <f t="shared" si="17"/>
        <v>High (Stage 1)</v>
      </c>
    </row>
    <row r="179" spans="1:21">
      <c r="A179">
        <v>64</v>
      </c>
      <c r="B179">
        <v>1</v>
      </c>
      <c r="C179">
        <v>0</v>
      </c>
      <c r="D179">
        <v>120</v>
      </c>
      <c r="E179">
        <v>246</v>
      </c>
      <c r="F179">
        <v>0</v>
      </c>
      <c r="G179">
        <v>0</v>
      </c>
      <c r="H179">
        <v>96</v>
      </c>
      <c r="I179">
        <v>1</v>
      </c>
      <c r="J179">
        <v>2.2000000000000002</v>
      </c>
      <c r="K179">
        <v>0</v>
      </c>
      <c r="L179">
        <v>1</v>
      </c>
      <c r="M179">
        <v>2</v>
      </c>
      <c r="N179">
        <v>0</v>
      </c>
      <c r="O179" t="str">
        <f t="shared" si="12"/>
        <v>Male</v>
      </c>
      <c r="P179" t="str">
        <f t="shared" si="13"/>
        <v>No Disease</v>
      </c>
      <c r="Q179" t="str">
        <f t="shared" si="14"/>
        <v>Typical Angina</v>
      </c>
      <c r="R179" t="str">
        <f t="shared" si="15"/>
        <v>Normal</v>
      </c>
      <c r="S179" t="str">
        <f t="shared" si="16"/>
        <v>Yes</v>
      </c>
      <c r="T179" t="str" cm="1">
        <f t="array" ref="T179">_xlfn.IFS(A178&lt;30,"18-29",A178&lt;40,"30-39",A178&lt;50,"40-49",A178&lt;60,"50-59",A178&gt;=60,"60+")</f>
        <v>50-59</v>
      </c>
      <c r="U179" t="str">
        <f t="shared" si="17"/>
        <v>Elevated</v>
      </c>
    </row>
    <row r="180" spans="1:21">
      <c r="A180">
        <v>44</v>
      </c>
      <c r="B180">
        <v>1</v>
      </c>
      <c r="C180">
        <v>0</v>
      </c>
      <c r="D180">
        <v>110</v>
      </c>
      <c r="E180">
        <v>197</v>
      </c>
      <c r="F180">
        <v>0</v>
      </c>
      <c r="G180">
        <v>0</v>
      </c>
      <c r="H180">
        <v>177</v>
      </c>
      <c r="I180">
        <v>0</v>
      </c>
      <c r="J180">
        <v>0</v>
      </c>
      <c r="K180">
        <v>2</v>
      </c>
      <c r="L180">
        <v>1</v>
      </c>
      <c r="M180">
        <v>2</v>
      </c>
      <c r="N180">
        <v>0</v>
      </c>
      <c r="O180" t="str">
        <f t="shared" si="12"/>
        <v>Male</v>
      </c>
      <c r="P180" t="str">
        <f t="shared" si="13"/>
        <v>No Disease</v>
      </c>
      <c r="Q180" t="str">
        <f t="shared" si="14"/>
        <v>Typical Angina</v>
      </c>
      <c r="R180" t="str">
        <f t="shared" si="15"/>
        <v>Normal</v>
      </c>
      <c r="S180" t="str">
        <f t="shared" si="16"/>
        <v>No</v>
      </c>
      <c r="T180" t="str" cm="1">
        <f t="array" ref="T180">_xlfn.IFS(A179&lt;30,"18-29",A179&lt;40,"30-39",A179&lt;50,"40-49",A179&lt;60,"50-59",A179&gt;=60,"60+")</f>
        <v>60+</v>
      </c>
      <c r="U180" t="str">
        <f t="shared" si="17"/>
        <v>Normal</v>
      </c>
    </row>
    <row r="181" spans="1:21">
      <c r="A181">
        <v>56</v>
      </c>
      <c r="B181">
        <v>0</v>
      </c>
      <c r="C181">
        <v>0</v>
      </c>
      <c r="D181">
        <v>134</v>
      </c>
      <c r="E181">
        <v>409</v>
      </c>
      <c r="F181">
        <v>0</v>
      </c>
      <c r="G181">
        <v>0</v>
      </c>
      <c r="H181">
        <v>150</v>
      </c>
      <c r="I181">
        <v>1</v>
      </c>
      <c r="J181">
        <v>1.9</v>
      </c>
      <c r="K181">
        <v>1</v>
      </c>
      <c r="L181">
        <v>2</v>
      </c>
      <c r="M181">
        <v>3</v>
      </c>
      <c r="N181">
        <v>0</v>
      </c>
      <c r="O181" t="str">
        <f t="shared" si="12"/>
        <v>Female</v>
      </c>
      <c r="P181" t="str">
        <f t="shared" si="13"/>
        <v>No Disease</v>
      </c>
      <c r="Q181" t="str">
        <f t="shared" si="14"/>
        <v>Typical Angina</v>
      </c>
      <c r="R181" t="str">
        <f t="shared" si="15"/>
        <v>Normal</v>
      </c>
      <c r="S181" t="str">
        <f t="shared" si="16"/>
        <v>Yes</v>
      </c>
      <c r="T181" t="str" cm="1">
        <f t="array" ref="T181">_xlfn.IFS(A180&lt;30,"18-29",A180&lt;40,"30-39",A180&lt;50,"40-49",A180&lt;60,"50-59",A180&gt;=60,"60+")</f>
        <v>40-49</v>
      </c>
      <c r="U181" t="str">
        <f t="shared" si="17"/>
        <v>High (Stage 1)</v>
      </c>
    </row>
    <row r="182" spans="1:21">
      <c r="A182">
        <v>63</v>
      </c>
      <c r="B182">
        <v>1</v>
      </c>
      <c r="C182">
        <v>0</v>
      </c>
      <c r="D182">
        <v>140</v>
      </c>
      <c r="E182">
        <v>187</v>
      </c>
      <c r="F182">
        <v>0</v>
      </c>
      <c r="G182">
        <v>0</v>
      </c>
      <c r="H182">
        <v>144</v>
      </c>
      <c r="I182">
        <v>1</v>
      </c>
      <c r="J182">
        <v>4</v>
      </c>
      <c r="K182">
        <v>2</v>
      </c>
      <c r="L182">
        <v>2</v>
      </c>
      <c r="M182">
        <v>3</v>
      </c>
      <c r="N182">
        <v>0</v>
      </c>
      <c r="O182" t="str">
        <f t="shared" si="12"/>
        <v>Male</v>
      </c>
      <c r="P182" t="str">
        <f t="shared" si="13"/>
        <v>No Disease</v>
      </c>
      <c r="Q182" t="str">
        <f t="shared" si="14"/>
        <v>Typical Angina</v>
      </c>
      <c r="R182" t="str">
        <f t="shared" si="15"/>
        <v>Normal</v>
      </c>
      <c r="S182" t="str">
        <f t="shared" si="16"/>
        <v>Yes</v>
      </c>
      <c r="T182" t="str" cm="1">
        <f t="array" ref="T182">_xlfn.IFS(A181&lt;30,"18-29",A181&lt;40,"30-39",A181&lt;50,"40-49",A181&lt;60,"50-59",A181&gt;=60,"60+")</f>
        <v>50-59</v>
      </c>
      <c r="U182" t="str">
        <f t="shared" si="17"/>
        <v>High (Stage 2)</v>
      </c>
    </row>
    <row r="183" spans="1:21">
      <c r="A183">
        <v>64</v>
      </c>
      <c r="B183">
        <v>1</v>
      </c>
      <c r="C183">
        <v>3</v>
      </c>
      <c r="D183">
        <v>110</v>
      </c>
      <c r="E183">
        <v>211</v>
      </c>
      <c r="F183">
        <v>0</v>
      </c>
      <c r="G183">
        <v>0</v>
      </c>
      <c r="H183">
        <v>144</v>
      </c>
      <c r="I183">
        <v>1</v>
      </c>
      <c r="J183">
        <v>1.8</v>
      </c>
      <c r="K183">
        <v>1</v>
      </c>
      <c r="L183">
        <v>0</v>
      </c>
      <c r="M183">
        <v>2</v>
      </c>
      <c r="N183">
        <v>1</v>
      </c>
      <c r="O183" t="str">
        <f t="shared" si="12"/>
        <v>Male</v>
      </c>
      <c r="P183" t="str">
        <f t="shared" si="13"/>
        <v>Heart Disease</v>
      </c>
      <c r="Q183" t="str">
        <f t="shared" si="14"/>
        <v>Asymptomatic</v>
      </c>
      <c r="R183" t="str">
        <f t="shared" si="15"/>
        <v>Normal</v>
      </c>
      <c r="S183" t="str">
        <f t="shared" si="16"/>
        <v>Yes</v>
      </c>
      <c r="T183" t="str" cm="1">
        <f t="array" ref="T183">_xlfn.IFS(A182&lt;30,"18-29",A182&lt;40,"30-39",A182&lt;50,"40-49",A182&lt;60,"50-59",A182&gt;=60,"60+")</f>
        <v>60+</v>
      </c>
      <c r="U183" t="str">
        <f t="shared" si="17"/>
        <v>Normal</v>
      </c>
    </row>
    <row r="184" spans="1:21">
      <c r="A184">
        <v>60</v>
      </c>
      <c r="B184">
        <v>1</v>
      </c>
      <c r="C184">
        <v>0</v>
      </c>
      <c r="D184">
        <v>140</v>
      </c>
      <c r="E184">
        <v>293</v>
      </c>
      <c r="F184">
        <v>0</v>
      </c>
      <c r="G184">
        <v>0</v>
      </c>
      <c r="H184">
        <v>170</v>
      </c>
      <c r="I184">
        <v>0</v>
      </c>
      <c r="J184">
        <v>1.2</v>
      </c>
      <c r="K184">
        <v>1</v>
      </c>
      <c r="L184">
        <v>2</v>
      </c>
      <c r="M184">
        <v>3</v>
      </c>
      <c r="N184">
        <v>0</v>
      </c>
      <c r="O184" t="str">
        <f t="shared" si="12"/>
        <v>Male</v>
      </c>
      <c r="P184" t="str">
        <f t="shared" si="13"/>
        <v>No Disease</v>
      </c>
      <c r="Q184" t="str">
        <f t="shared" si="14"/>
        <v>Typical Angina</v>
      </c>
      <c r="R184" t="str">
        <f t="shared" si="15"/>
        <v>Normal</v>
      </c>
      <c r="S184" t="str">
        <f t="shared" si="16"/>
        <v>No</v>
      </c>
      <c r="T184" t="str" cm="1">
        <f t="array" ref="T184">_xlfn.IFS(A183&lt;30,"18-29",A183&lt;40,"30-39",A183&lt;50,"40-49",A183&lt;60,"50-59",A183&gt;=60,"60+")</f>
        <v>60+</v>
      </c>
      <c r="U184" t="str">
        <f t="shared" si="17"/>
        <v>High (Stage 2)</v>
      </c>
    </row>
    <row r="185" spans="1:21">
      <c r="A185">
        <v>42</v>
      </c>
      <c r="B185">
        <v>1</v>
      </c>
      <c r="C185">
        <v>2</v>
      </c>
      <c r="D185">
        <v>130</v>
      </c>
      <c r="E185">
        <v>180</v>
      </c>
      <c r="F185">
        <v>0</v>
      </c>
      <c r="G185">
        <v>1</v>
      </c>
      <c r="H185">
        <v>150</v>
      </c>
      <c r="I185">
        <v>0</v>
      </c>
      <c r="J185">
        <v>0</v>
      </c>
      <c r="K185">
        <v>2</v>
      </c>
      <c r="L185">
        <v>0</v>
      </c>
      <c r="M185">
        <v>2</v>
      </c>
      <c r="N185">
        <v>1</v>
      </c>
      <c r="O185" t="str">
        <f t="shared" si="12"/>
        <v>Male</v>
      </c>
      <c r="P185" t="str">
        <f t="shared" si="13"/>
        <v>Heart Disease</v>
      </c>
      <c r="Q185" t="str">
        <f t="shared" si="14"/>
        <v>Non-Anginal Pain</v>
      </c>
      <c r="R185" t="str">
        <f t="shared" si="15"/>
        <v>Normal</v>
      </c>
      <c r="S185" t="str">
        <f t="shared" si="16"/>
        <v>No</v>
      </c>
      <c r="T185" t="str" cm="1">
        <f t="array" ref="T185">_xlfn.IFS(A184&lt;30,"18-29",A184&lt;40,"30-39",A184&lt;50,"40-49",A184&lt;60,"50-59",A184&gt;=60,"60+")</f>
        <v>60+</v>
      </c>
      <c r="U185" t="str">
        <f t="shared" si="17"/>
        <v>High (Stage 1)</v>
      </c>
    </row>
    <row r="186" spans="1:21">
      <c r="A186">
        <v>45</v>
      </c>
      <c r="B186">
        <v>1</v>
      </c>
      <c r="C186">
        <v>1</v>
      </c>
      <c r="D186">
        <v>128</v>
      </c>
      <c r="E186">
        <v>308</v>
      </c>
      <c r="F186">
        <v>0</v>
      </c>
      <c r="G186">
        <v>0</v>
      </c>
      <c r="H186">
        <v>170</v>
      </c>
      <c r="I186">
        <v>0</v>
      </c>
      <c r="J186">
        <v>0</v>
      </c>
      <c r="K186">
        <v>2</v>
      </c>
      <c r="L186">
        <v>0</v>
      </c>
      <c r="M186">
        <v>2</v>
      </c>
      <c r="N186">
        <v>1</v>
      </c>
      <c r="O186" t="str">
        <f t="shared" si="12"/>
        <v>Male</v>
      </c>
      <c r="P186" t="str">
        <f t="shared" si="13"/>
        <v>Heart Disease</v>
      </c>
      <c r="Q186" t="str">
        <f t="shared" si="14"/>
        <v>Atypical Angina</v>
      </c>
      <c r="R186" t="str">
        <f t="shared" si="15"/>
        <v>Normal</v>
      </c>
      <c r="S186" t="str">
        <f t="shared" si="16"/>
        <v>No</v>
      </c>
      <c r="T186" t="str" cm="1">
        <f t="array" ref="T186">_xlfn.IFS(A185&lt;30,"18-29",A185&lt;40,"30-39",A185&lt;50,"40-49",A185&lt;60,"50-59",A185&gt;=60,"60+")</f>
        <v>40-49</v>
      </c>
      <c r="U186" t="str">
        <f t="shared" si="17"/>
        <v>Elevated</v>
      </c>
    </row>
    <row r="187" spans="1:21">
      <c r="A187">
        <v>57</v>
      </c>
      <c r="B187">
        <v>1</v>
      </c>
      <c r="C187">
        <v>0</v>
      </c>
      <c r="D187">
        <v>165</v>
      </c>
      <c r="E187">
        <v>289</v>
      </c>
      <c r="F187">
        <v>1</v>
      </c>
      <c r="G187">
        <v>0</v>
      </c>
      <c r="H187">
        <v>124</v>
      </c>
      <c r="I187">
        <v>0</v>
      </c>
      <c r="J187">
        <v>1</v>
      </c>
      <c r="K187">
        <v>1</v>
      </c>
      <c r="L187">
        <v>3</v>
      </c>
      <c r="M187">
        <v>3</v>
      </c>
      <c r="N187">
        <v>0</v>
      </c>
      <c r="O187" t="str">
        <f t="shared" si="12"/>
        <v>Male</v>
      </c>
      <c r="P187" t="str">
        <f t="shared" si="13"/>
        <v>No Disease</v>
      </c>
      <c r="Q187" t="str">
        <f t="shared" si="14"/>
        <v>Typical Angina</v>
      </c>
      <c r="R187" t="str">
        <f t="shared" si="15"/>
        <v>High</v>
      </c>
      <c r="S187" t="str">
        <f t="shared" si="16"/>
        <v>No</v>
      </c>
      <c r="T187" t="str" cm="1">
        <f t="array" ref="T187">_xlfn.IFS(A186&lt;30,"18-29",A186&lt;40,"30-39",A186&lt;50,"40-49",A186&lt;60,"50-59",A186&gt;=60,"60+")</f>
        <v>40-49</v>
      </c>
      <c r="U187" t="str">
        <f t="shared" si="17"/>
        <v>High (Stage 2)</v>
      </c>
    </row>
    <row r="188" spans="1:21">
      <c r="A188">
        <v>40</v>
      </c>
      <c r="B188">
        <v>1</v>
      </c>
      <c r="C188">
        <v>0</v>
      </c>
      <c r="D188">
        <v>110</v>
      </c>
      <c r="E188">
        <v>167</v>
      </c>
      <c r="F188">
        <v>0</v>
      </c>
      <c r="G188">
        <v>0</v>
      </c>
      <c r="H188">
        <v>114</v>
      </c>
      <c r="I188">
        <v>1</v>
      </c>
      <c r="J188">
        <v>2</v>
      </c>
      <c r="K188">
        <v>1</v>
      </c>
      <c r="L188">
        <v>0</v>
      </c>
      <c r="M188">
        <v>3</v>
      </c>
      <c r="N188">
        <v>0</v>
      </c>
      <c r="O188" t="str">
        <f t="shared" si="12"/>
        <v>Male</v>
      </c>
      <c r="P188" t="str">
        <f t="shared" si="13"/>
        <v>No Disease</v>
      </c>
      <c r="Q188" t="str">
        <f t="shared" si="14"/>
        <v>Typical Angina</v>
      </c>
      <c r="R188" t="str">
        <f t="shared" si="15"/>
        <v>Normal</v>
      </c>
      <c r="S188" t="str">
        <f t="shared" si="16"/>
        <v>Yes</v>
      </c>
      <c r="T188" t="str" cm="1">
        <f t="array" ref="T188">_xlfn.IFS(A187&lt;30,"18-29",A187&lt;40,"30-39",A187&lt;50,"40-49",A187&lt;60,"50-59",A187&gt;=60,"60+")</f>
        <v>50-59</v>
      </c>
      <c r="U188" t="str">
        <f t="shared" si="17"/>
        <v>Normal</v>
      </c>
    </row>
    <row r="189" spans="1:21">
      <c r="A189">
        <v>56</v>
      </c>
      <c r="B189">
        <v>1</v>
      </c>
      <c r="C189">
        <v>0</v>
      </c>
      <c r="D189">
        <v>125</v>
      </c>
      <c r="E189">
        <v>249</v>
      </c>
      <c r="F189">
        <v>1</v>
      </c>
      <c r="G189">
        <v>0</v>
      </c>
      <c r="H189">
        <v>144</v>
      </c>
      <c r="I189">
        <v>1</v>
      </c>
      <c r="J189">
        <v>1.2</v>
      </c>
      <c r="K189">
        <v>1</v>
      </c>
      <c r="L189">
        <v>1</v>
      </c>
      <c r="M189">
        <v>2</v>
      </c>
      <c r="N189">
        <v>0</v>
      </c>
      <c r="O189" t="str">
        <f t="shared" si="12"/>
        <v>Male</v>
      </c>
      <c r="P189" t="str">
        <f t="shared" si="13"/>
        <v>No Disease</v>
      </c>
      <c r="Q189" t="str">
        <f t="shared" si="14"/>
        <v>Typical Angina</v>
      </c>
      <c r="R189" t="str">
        <f t="shared" si="15"/>
        <v>High</v>
      </c>
      <c r="S189" t="str">
        <f t="shared" si="16"/>
        <v>Yes</v>
      </c>
      <c r="T189" t="str" cm="1">
        <f t="array" ref="T189">_xlfn.IFS(A188&lt;30,"18-29",A188&lt;40,"30-39",A188&lt;50,"40-49",A188&lt;60,"50-59",A188&gt;=60,"60+")</f>
        <v>40-49</v>
      </c>
      <c r="U189" t="str">
        <f t="shared" si="17"/>
        <v>Elevated</v>
      </c>
    </row>
    <row r="190" spans="1:21">
      <c r="A190">
        <v>63</v>
      </c>
      <c r="B190">
        <v>1</v>
      </c>
      <c r="C190">
        <v>0</v>
      </c>
      <c r="D190">
        <v>130</v>
      </c>
      <c r="E190">
        <v>254</v>
      </c>
      <c r="F190">
        <v>0</v>
      </c>
      <c r="G190">
        <v>0</v>
      </c>
      <c r="H190">
        <v>147</v>
      </c>
      <c r="I190">
        <v>0</v>
      </c>
      <c r="J190">
        <v>1.4</v>
      </c>
      <c r="K190">
        <v>1</v>
      </c>
      <c r="L190">
        <v>1</v>
      </c>
      <c r="M190">
        <v>3</v>
      </c>
      <c r="N190">
        <v>0</v>
      </c>
      <c r="O190" t="str">
        <f t="shared" si="12"/>
        <v>Male</v>
      </c>
      <c r="P190" t="str">
        <f t="shared" si="13"/>
        <v>No Disease</v>
      </c>
      <c r="Q190" t="str">
        <f t="shared" si="14"/>
        <v>Typical Angina</v>
      </c>
      <c r="R190" t="str">
        <f t="shared" si="15"/>
        <v>Normal</v>
      </c>
      <c r="S190" t="str">
        <f t="shared" si="16"/>
        <v>No</v>
      </c>
      <c r="T190" t="str" cm="1">
        <f t="array" ref="T190">_xlfn.IFS(A189&lt;30,"18-29",A189&lt;40,"30-39",A189&lt;50,"40-49",A189&lt;60,"50-59",A189&gt;=60,"60+")</f>
        <v>50-59</v>
      </c>
      <c r="U190" t="str">
        <f t="shared" si="17"/>
        <v>High (Stage 1)</v>
      </c>
    </row>
    <row r="191" spans="1:21">
      <c r="A191">
        <v>64</v>
      </c>
      <c r="B191">
        <v>1</v>
      </c>
      <c r="C191">
        <v>2</v>
      </c>
      <c r="D191">
        <v>125</v>
      </c>
      <c r="E191">
        <v>309</v>
      </c>
      <c r="F191">
        <v>0</v>
      </c>
      <c r="G191">
        <v>1</v>
      </c>
      <c r="H191">
        <v>131</v>
      </c>
      <c r="I191">
        <v>1</v>
      </c>
      <c r="J191">
        <v>1.8</v>
      </c>
      <c r="K191">
        <v>1</v>
      </c>
      <c r="L191">
        <v>0</v>
      </c>
      <c r="M191">
        <v>3</v>
      </c>
      <c r="N191">
        <v>0</v>
      </c>
      <c r="O191" t="str">
        <f t="shared" si="12"/>
        <v>Male</v>
      </c>
      <c r="P191" t="str">
        <f t="shared" si="13"/>
        <v>No Disease</v>
      </c>
      <c r="Q191" t="str">
        <f t="shared" si="14"/>
        <v>Non-Anginal Pain</v>
      </c>
      <c r="R191" t="str">
        <f t="shared" si="15"/>
        <v>Normal</v>
      </c>
      <c r="S191" t="str">
        <f t="shared" si="16"/>
        <v>Yes</v>
      </c>
      <c r="T191" t="str" cm="1">
        <f t="array" ref="T191">_xlfn.IFS(A190&lt;30,"18-29",A190&lt;40,"30-39",A190&lt;50,"40-49",A190&lt;60,"50-59",A190&gt;=60,"60+")</f>
        <v>60+</v>
      </c>
      <c r="U191" t="str">
        <f t="shared" si="17"/>
        <v>Elevated</v>
      </c>
    </row>
    <row r="192" spans="1:21">
      <c r="A192">
        <v>41</v>
      </c>
      <c r="B192">
        <v>1</v>
      </c>
      <c r="C192">
        <v>2</v>
      </c>
      <c r="D192">
        <v>112</v>
      </c>
      <c r="E192">
        <v>250</v>
      </c>
      <c r="F192">
        <v>0</v>
      </c>
      <c r="G192">
        <v>1</v>
      </c>
      <c r="H192">
        <v>179</v>
      </c>
      <c r="I192">
        <v>0</v>
      </c>
      <c r="J192">
        <v>0</v>
      </c>
      <c r="K192">
        <v>2</v>
      </c>
      <c r="L192">
        <v>0</v>
      </c>
      <c r="M192">
        <v>2</v>
      </c>
      <c r="N192">
        <v>1</v>
      </c>
      <c r="O192" t="str">
        <f t="shared" si="12"/>
        <v>Male</v>
      </c>
      <c r="P192" t="str">
        <f t="shared" si="13"/>
        <v>Heart Disease</v>
      </c>
      <c r="Q192" t="str">
        <f t="shared" si="14"/>
        <v>Non-Anginal Pain</v>
      </c>
      <c r="R192" t="str">
        <f t="shared" si="15"/>
        <v>Normal</v>
      </c>
      <c r="S192" t="str">
        <f t="shared" si="16"/>
        <v>No</v>
      </c>
      <c r="T192" t="str" cm="1">
        <f t="array" ref="T192">_xlfn.IFS(A191&lt;30,"18-29",A191&lt;40,"30-39",A191&lt;50,"40-49",A191&lt;60,"50-59",A191&gt;=60,"60+")</f>
        <v>60+</v>
      </c>
      <c r="U192" t="str">
        <f t="shared" si="17"/>
        <v>Normal</v>
      </c>
    </row>
    <row r="193" spans="1:21">
      <c r="A193">
        <v>56</v>
      </c>
      <c r="B193">
        <v>1</v>
      </c>
      <c r="C193">
        <v>1</v>
      </c>
      <c r="D193">
        <v>130</v>
      </c>
      <c r="E193">
        <v>221</v>
      </c>
      <c r="F193">
        <v>0</v>
      </c>
      <c r="G193">
        <v>0</v>
      </c>
      <c r="H193">
        <v>163</v>
      </c>
      <c r="I193">
        <v>0</v>
      </c>
      <c r="J193">
        <v>0</v>
      </c>
      <c r="K193">
        <v>2</v>
      </c>
      <c r="L193">
        <v>0</v>
      </c>
      <c r="M193">
        <v>3</v>
      </c>
      <c r="N193">
        <v>1</v>
      </c>
      <c r="O193" t="str">
        <f t="shared" si="12"/>
        <v>Male</v>
      </c>
      <c r="P193" t="str">
        <f t="shared" si="13"/>
        <v>Heart Disease</v>
      </c>
      <c r="Q193" t="str">
        <f t="shared" si="14"/>
        <v>Atypical Angina</v>
      </c>
      <c r="R193" t="str">
        <f t="shared" si="15"/>
        <v>Normal</v>
      </c>
      <c r="S193" t="str">
        <f t="shared" si="16"/>
        <v>No</v>
      </c>
      <c r="T193" t="str" cm="1">
        <f t="array" ref="T193">_xlfn.IFS(A192&lt;30,"18-29",A192&lt;40,"30-39",A192&lt;50,"40-49",A192&lt;60,"50-59",A192&gt;=60,"60+")</f>
        <v>40-49</v>
      </c>
      <c r="U193" t="str">
        <f t="shared" si="17"/>
        <v>High (Stage 1)</v>
      </c>
    </row>
    <row r="194" spans="1:21">
      <c r="A194">
        <v>67</v>
      </c>
      <c r="B194">
        <v>0</v>
      </c>
      <c r="C194">
        <v>2</v>
      </c>
      <c r="D194">
        <v>115</v>
      </c>
      <c r="E194">
        <v>564</v>
      </c>
      <c r="F194">
        <v>0</v>
      </c>
      <c r="G194">
        <v>0</v>
      </c>
      <c r="H194">
        <v>160</v>
      </c>
      <c r="I194">
        <v>0</v>
      </c>
      <c r="J194">
        <v>1.6</v>
      </c>
      <c r="K194">
        <v>1</v>
      </c>
      <c r="L194">
        <v>0</v>
      </c>
      <c r="M194">
        <v>3</v>
      </c>
      <c r="N194">
        <v>1</v>
      </c>
      <c r="O194" t="str">
        <f t="shared" ref="O194:O257" si="18">IF(B194=1,"Male","Female")</f>
        <v>Female</v>
      </c>
      <c r="P194" t="str">
        <f t="shared" ref="P194:P257" si="19">IF(N194=1,"Heart Disease","No Disease")</f>
        <v>Heart Disease</v>
      </c>
      <c r="Q194" t="str">
        <f t="shared" ref="Q194:Q257" si="20">IF(C194=0,"Typical Angina",IF(C194=1,"Atypical Angina",IF(C194=2,"Non-Anginal Pain","Asymptomatic")))</f>
        <v>Non-Anginal Pain</v>
      </c>
      <c r="R194" t="str">
        <f t="shared" ref="R194:R257" si="21">IF(F194=1,"High","Normal")</f>
        <v>Normal</v>
      </c>
      <c r="S194" t="str">
        <f t="shared" ref="S194:S257" si="22">IF(I194=1,"Yes","No")</f>
        <v>No</v>
      </c>
      <c r="T194" t="str" cm="1">
        <f t="array" ref="T194">_xlfn.IFS(A193&lt;30,"18-29",A193&lt;40,"30-39",A193&lt;50,"40-49",A193&lt;60,"50-59",A193&gt;=60,"60+")</f>
        <v>50-59</v>
      </c>
      <c r="U194" t="str">
        <f t="shared" ref="U194:U257" si="23">IF(D194&lt;120,"Normal",IF(D194&lt;130,"Elevated",IF(D194&lt;140,"High (Stage 1)","High (Stage 2)")))</f>
        <v>Normal</v>
      </c>
    </row>
    <row r="195" spans="1:21">
      <c r="A195">
        <v>69</v>
      </c>
      <c r="B195">
        <v>1</v>
      </c>
      <c r="C195">
        <v>3</v>
      </c>
      <c r="D195">
        <v>160</v>
      </c>
      <c r="E195">
        <v>234</v>
      </c>
      <c r="F195">
        <v>1</v>
      </c>
      <c r="G195">
        <v>0</v>
      </c>
      <c r="H195">
        <v>131</v>
      </c>
      <c r="I195">
        <v>0</v>
      </c>
      <c r="J195">
        <v>0.1</v>
      </c>
      <c r="K195">
        <v>1</v>
      </c>
      <c r="L195">
        <v>1</v>
      </c>
      <c r="M195">
        <v>2</v>
      </c>
      <c r="N195">
        <v>1</v>
      </c>
      <c r="O195" t="str">
        <f t="shared" si="18"/>
        <v>Male</v>
      </c>
      <c r="P195" t="str">
        <f t="shared" si="19"/>
        <v>Heart Disease</v>
      </c>
      <c r="Q195" t="str">
        <f t="shared" si="20"/>
        <v>Asymptomatic</v>
      </c>
      <c r="R195" t="str">
        <f t="shared" si="21"/>
        <v>High</v>
      </c>
      <c r="S195" t="str">
        <f t="shared" si="22"/>
        <v>No</v>
      </c>
      <c r="T195" t="str" cm="1">
        <f t="array" ref="T195">_xlfn.IFS(A194&lt;30,"18-29",A194&lt;40,"30-39",A194&lt;50,"40-49",A194&lt;60,"50-59",A194&gt;=60,"60+")</f>
        <v>60+</v>
      </c>
      <c r="U195" t="str">
        <f t="shared" si="23"/>
        <v>High (Stage 2)</v>
      </c>
    </row>
    <row r="196" spans="1:21">
      <c r="A196">
        <v>67</v>
      </c>
      <c r="B196">
        <v>1</v>
      </c>
      <c r="C196">
        <v>0</v>
      </c>
      <c r="D196">
        <v>160</v>
      </c>
      <c r="E196">
        <v>286</v>
      </c>
      <c r="F196">
        <v>0</v>
      </c>
      <c r="G196">
        <v>0</v>
      </c>
      <c r="H196">
        <v>108</v>
      </c>
      <c r="I196">
        <v>1</v>
      </c>
      <c r="J196">
        <v>1.5</v>
      </c>
      <c r="K196">
        <v>1</v>
      </c>
      <c r="L196">
        <v>3</v>
      </c>
      <c r="M196">
        <v>2</v>
      </c>
      <c r="N196">
        <v>0</v>
      </c>
      <c r="O196" t="str">
        <f t="shared" si="18"/>
        <v>Male</v>
      </c>
      <c r="P196" t="str">
        <f t="shared" si="19"/>
        <v>No Disease</v>
      </c>
      <c r="Q196" t="str">
        <f t="shared" si="20"/>
        <v>Typical Angina</v>
      </c>
      <c r="R196" t="str">
        <f t="shared" si="21"/>
        <v>Normal</v>
      </c>
      <c r="S196" t="str">
        <f t="shared" si="22"/>
        <v>Yes</v>
      </c>
      <c r="T196" t="str" cm="1">
        <f t="array" ref="T196">_xlfn.IFS(A195&lt;30,"18-29",A195&lt;40,"30-39",A195&lt;50,"40-49",A195&lt;60,"50-59",A195&gt;=60,"60+")</f>
        <v>60+</v>
      </c>
      <c r="U196" t="str">
        <f t="shared" si="23"/>
        <v>High (Stage 2)</v>
      </c>
    </row>
    <row r="197" spans="1:21">
      <c r="A197">
        <v>59</v>
      </c>
      <c r="B197">
        <v>1</v>
      </c>
      <c r="C197">
        <v>2</v>
      </c>
      <c r="D197">
        <v>150</v>
      </c>
      <c r="E197">
        <v>212</v>
      </c>
      <c r="F197">
        <v>1</v>
      </c>
      <c r="G197">
        <v>1</v>
      </c>
      <c r="H197">
        <v>157</v>
      </c>
      <c r="I197">
        <v>0</v>
      </c>
      <c r="J197">
        <v>1.6</v>
      </c>
      <c r="K197">
        <v>2</v>
      </c>
      <c r="L197">
        <v>0</v>
      </c>
      <c r="M197">
        <v>2</v>
      </c>
      <c r="N197">
        <v>1</v>
      </c>
      <c r="O197" t="str">
        <f t="shared" si="18"/>
        <v>Male</v>
      </c>
      <c r="P197" t="str">
        <f t="shared" si="19"/>
        <v>Heart Disease</v>
      </c>
      <c r="Q197" t="str">
        <f t="shared" si="20"/>
        <v>Non-Anginal Pain</v>
      </c>
      <c r="R197" t="str">
        <f t="shared" si="21"/>
        <v>High</v>
      </c>
      <c r="S197" t="str">
        <f t="shared" si="22"/>
        <v>No</v>
      </c>
      <c r="T197" t="str" cm="1">
        <f t="array" ref="T197">_xlfn.IFS(A196&lt;30,"18-29",A196&lt;40,"30-39",A196&lt;50,"40-49",A196&lt;60,"50-59",A196&gt;=60,"60+")</f>
        <v>60+</v>
      </c>
      <c r="U197" t="str">
        <f t="shared" si="23"/>
        <v>High (Stage 2)</v>
      </c>
    </row>
    <row r="198" spans="1:21">
      <c r="A198">
        <v>58</v>
      </c>
      <c r="B198">
        <v>1</v>
      </c>
      <c r="C198">
        <v>0</v>
      </c>
      <c r="D198">
        <v>100</v>
      </c>
      <c r="E198">
        <v>234</v>
      </c>
      <c r="F198">
        <v>0</v>
      </c>
      <c r="G198">
        <v>1</v>
      </c>
      <c r="H198">
        <v>156</v>
      </c>
      <c r="I198">
        <v>0</v>
      </c>
      <c r="J198">
        <v>0.1</v>
      </c>
      <c r="K198">
        <v>2</v>
      </c>
      <c r="L198">
        <v>1</v>
      </c>
      <c r="M198">
        <v>3</v>
      </c>
      <c r="N198">
        <v>0</v>
      </c>
      <c r="O198" t="str">
        <f t="shared" si="18"/>
        <v>Male</v>
      </c>
      <c r="P198" t="str">
        <f t="shared" si="19"/>
        <v>No Disease</v>
      </c>
      <c r="Q198" t="str">
        <f t="shared" si="20"/>
        <v>Typical Angina</v>
      </c>
      <c r="R198" t="str">
        <f t="shared" si="21"/>
        <v>Normal</v>
      </c>
      <c r="S198" t="str">
        <f t="shared" si="22"/>
        <v>No</v>
      </c>
      <c r="T198" t="str" cm="1">
        <f t="array" ref="T198">_xlfn.IFS(A197&lt;30,"18-29",A197&lt;40,"30-39",A197&lt;50,"40-49",A197&lt;60,"50-59",A197&gt;=60,"60+")</f>
        <v>50-59</v>
      </c>
      <c r="U198" t="str">
        <f t="shared" si="23"/>
        <v>Normal</v>
      </c>
    </row>
    <row r="199" spans="1:21">
      <c r="A199">
        <v>45</v>
      </c>
      <c r="B199">
        <v>1</v>
      </c>
      <c r="C199">
        <v>0</v>
      </c>
      <c r="D199">
        <v>115</v>
      </c>
      <c r="E199">
        <v>260</v>
      </c>
      <c r="F199">
        <v>0</v>
      </c>
      <c r="G199">
        <v>0</v>
      </c>
      <c r="H199">
        <v>185</v>
      </c>
      <c r="I199">
        <v>0</v>
      </c>
      <c r="J199">
        <v>0</v>
      </c>
      <c r="K199">
        <v>2</v>
      </c>
      <c r="L199">
        <v>0</v>
      </c>
      <c r="M199">
        <v>2</v>
      </c>
      <c r="N199">
        <v>1</v>
      </c>
      <c r="O199" t="str">
        <f t="shared" si="18"/>
        <v>Male</v>
      </c>
      <c r="P199" t="str">
        <f t="shared" si="19"/>
        <v>Heart Disease</v>
      </c>
      <c r="Q199" t="str">
        <f t="shared" si="20"/>
        <v>Typical Angina</v>
      </c>
      <c r="R199" t="str">
        <f t="shared" si="21"/>
        <v>Normal</v>
      </c>
      <c r="S199" t="str">
        <f t="shared" si="22"/>
        <v>No</v>
      </c>
      <c r="T199" t="str" cm="1">
        <f t="array" ref="T199">_xlfn.IFS(A198&lt;30,"18-29",A198&lt;40,"30-39",A198&lt;50,"40-49",A198&lt;60,"50-59",A198&gt;=60,"60+")</f>
        <v>50-59</v>
      </c>
      <c r="U199" t="str">
        <f t="shared" si="23"/>
        <v>Normal</v>
      </c>
    </row>
    <row r="200" spans="1:21">
      <c r="A200">
        <v>60</v>
      </c>
      <c r="B200">
        <v>0</v>
      </c>
      <c r="C200">
        <v>2</v>
      </c>
      <c r="D200">
        <v>102</v>
      </c>
      <c r="E200">
        <v>318</v>
      </c>
      <c r="F200">
        <v>0</v>
      </c>
      <c r="G200">
        <v>1</v>
      </c>
      <c r="H200">
        <v>160</v>
      </c>
      <c r="I200">
        <v>0</v>
      </c>
      <c r="J200">
        <v>0</v>
      </c>
      <c r="K200">
        <v>2</v>
      </c>
      <c r="L200">
        <v>1</v>
      </c>
      <c r="M200">
        <v>2</v>
      </c>
      <c r="N200">
        <v>1</v>
      </c>
      <c r="O200" t="str">
        <f t="shared" si="18"/>
        <v>Female</v>
      </c>
      <c r="P200" t="str">
        <f t="shared" si="19"/>
        <v>Heart Disease</v>
      </c>
      <c r="Q200" t="str">
        <f t="shared" si="20"/>
        <v>Non-Anginal Pain</v>
      </c>
      <c r="R200" t="str">
        <f t="shared" si="21"/>
        <v>Normal</v>
      </c>
      <c r="S200" t="str">
        <f t="shared" si="22"/>
        <v>No</v>
      </c>
      <c r="T200" t="str" cm="1">
        <f t="array" ref="T200">_xlfn.IFS(A199&lt;30,"18-29",A199&lt;40,"30-39",A199&lt;50,"40-49",A199&lt;60,"50-59",A199&gt;=60,"60+")</f>
        <v>40-49</v>
      </c>
      <c r="U200" t="str">
        <f t="shared" si="23"/>
        <v>Normal</v>
      </c>
    </row>
    <row r="201" spans="1:21">
      <c r="A201">
        <v>50</v>
      </c>
      <c r="B201">
        <v>1</v>
      </c>
      <c r="C201">
        <v>0</v>
      </c>
      <c r="D201">
        <v>144</v>
      </c>
      <c r="E201">
        <v>200</v>
      </c>
      <c r="F201">
        <v>0</v>
      </c>
      <c r="G201">
        <v>0</v>
      </c>
      <c r="H201">
        <v>126</v>
      </c>
      <c r="I201">
        <v>1</v>
      </c>
      <c r="J201">
        <v>0.9</v>
      </c>
      <c r="K201">
        <v>1</v>
      </c>
      <c r="L201">
        <v>0</v>
      </c>
      <c r="M201">
        <v>3</v>
      </c>
      <c r="N201">
        <v>0</v>
      </c>
      <c r="O201" t="str">
        <f t="shared" si="18"/>
        <v>Male</v>
      </c>
      <c r="P201" t="str">
        <f t="shared" si="19"/>
        <v>No Disease</v>
      </c>
      <c r="Q201" t="str">
        <f t="shared" si="20"/>
        <v>Typical Angina</v>
      </c>
      <c r="R201" t="str">
        <f t="shared" si="21"/>
        <v>Normal</v>
      </c>
      <c r="S201" t="str">
        <f t="shared" si="22"/>
        <v>Yes</v>
      </c>
      <c r="T201" t="str" cm="1">
        <f t="array" ref="T201">_xlfn.IFS(A200&lt;30,"18-29",A200&lt;40,"30-39",A200&lt;50,"40-49",A200&lt;60,"50-59",A200&gt;=60,"60+")</f>
        <v>60+</v>
      </c>
      <c r="U201" t="str">
        <f t="shared" si="23"/>
        <v>High (Stage 2)</v>
      </c>
    </row>
    <row r="202" spans="1:21">
      <c r="A202">
        <v>62</v>
      </c>
      <c r="B202">
        <v>0</v>
      </c>
      <c r="C202">
        <v>0</v>
      </c>
      <c r="D202">
        <v>124</v>
      </c>
      <c r="E202">
        <v>209</v>
      </c>
      <c r="F202">
        <v>0</v>
      </c>
      <c r="G202">
        <v>1</v>
      </c>
      <c r="H202">
        <v>163</v>
      </c>
      <c r="I202">
        <v>0</v>
      </c>
      <c r="J202">
        <v>0</v>
      </c>
      <c r="K202">
        <v>2</v>
      </c>
      <c r="L202">
        <v>0</v>
      </c>
      <c r="M202">
        <v>2</v>
      </c>
      <c r="N202">
        <v>1</v>
      </c>
      <c r="O202" t="str">
        <f t="shared" si="18"/>
        <v>Female</v>
      </c>
      <c r="P202" t="str">
        <f t="shared" si="19"/>
        <v>Heart Disease</v>
      </c>
      <c r="Q202" t="str">
        <f t="shared" si="20"/>
        <v>Typical Angina</v>
      </c>
      <c r="R202" t="str">
        <f t="shared" si="21"/>
        <v>Normal</v>
      </c>
      <c r="S202" t="str">
        <f t="shared" si="22"/>
        <v>No</v>
      </c>
      <c r="T202" t="str" cm="1">
        <f t="array" ref="T202">_xlfn.IFS(A201&lt;30,"18-29",A201&lt;40,"30-39",A201&lt;50,"40-49",A201&lt;60,"50-59",A201&gt;=60,"60+")</f>
        <v>50-59</v>
      </c>
      <c r="U202" t="str">
        <f t="shared" si="23"/>
        <v>Elevated</v>
      </c>
    </row>
    <row r="203" spans="1:21">
      <c r="A203">
        <v>34</v>
      </c>
      <c r="B203">
        <v>1</v>
      </c>
      <c r="C203">
        <v>3</v>
      </c>
      <c r="D203">
        <v>118</v>
      </c>
      <c r="E203">
        <v>182</v>
      </c>
      <c r="F203">
        <v>0</v>
      </c>
      <c r="G203">
        <v>0</v>
      </c>
      <c r="H203">
        <v>174</v>
      </c>
      <c r="I203">
        <v>0</v>
      </c>
      <c r="J203">
        <v>0</v>
      </c>
      <c r="K203">
        <v>2</v>
      </c>
      <c r="L203">
        <v>0</v>
      </c>
      <c r="M203">
        <v>2</v>
      </c>
      <c r="N203">
        <v>1</v>
      </c>
      <c r="O203" t="str">
        <f t="shared" si="18"/>
        <v>Male</v>
      </c>
      <c r="P203" t="str">
        <f t="shared" si="19"/>
        <v>Heart Disease</v>
      </c>
      <c r="Q203" t="str">
        <f t="shared" si="20"/>
        <v>Asymptomatic</v>
      </c>
      <c r="R203" t="str">
        <f t="shared" si="21"/>
        <v>Normal</v>
      </c>
      <c r="S203" t="str">
        <f t="shared" si="22"/>
        <v>No</v>
      </c>
      <c r="T203" t="str" cm="1">
        <f t="array" ref="T203">_xlfn.IFS(A202&lt;30,"18-29",A202&lt;40,"30-39",A202&lt;50,"40-49",A202&lt;60,"50-59",A202&gt;=60,"60+")</f>
        <v>60+</v>
      </c>
      <c r="U203" t="str">
        <f t="shared" si="23"/>
        <v>Normal</v>
      </c>
    </row>
    <row r="204" spans="1:21">
      <c r="A204">
        <v>52</v>
      </c>
      <c r="B204">
        <v>1</v>
      </c>
      <c r="C204">
        <v>3</v>
      </c>
      <c r="D204">
        <v>152</v>
      </c>
      <c r="E204">
        <v>298</v>
      </c>
      <c r="F204">
        <v>1</v>
      </c>
      <c r="G204">
        <v>1</v>
      </c>
      <c r="H204">
        <v>178</v>
      </c>
      <c r="I204">
        <v>0</v>
      </c>
      <c r="J204">
        <v>1.2</v>
      </c>
      <c r="K204">
        <v>1</v>
      </c>
      <c r="L204">
        <v>0</v>
      </c>
      <c r="M204">
        <v>3</v>
      </c>
      <c r="N204">
        <v>1</v>
      </c>
      <c r="O204" t="str">
        <f t="shared" si="18"/>
        <v>Male</v>
      </c>
      <c r="P204" t="str">
        <f t="shared" si="19"/>
        <v>Heart Disease</v>
      </c>
      <c r="Q204" t="str">
        <f t="shared" si="20"/>
        <v>Asymptomatic</v>
      </c>
      <c r="R204" t="str">
        <f t="shared" si="21"/>
        <v>High</v>
      </c>
      <c r="S204" t="str">
        <f t="shared" si="22"/>
        <v>No</v>
      </c>
      <c r="T204" t="str" cm="1">
        <f t="array" ref="T204">_xlfn.IFS(A203&lt;30,"18-29",A203&lt;40,"30-39",A203&lt;50,"40-49",A203&lt;60,"50-59",A203&gt;=60,"60+")</f>
        <v>30-39</v>
      </c>
      <c r="U204" t="str">
        <f t="shared" si="23"/>
        <v>High (Stage 2)</v>
      </c>
    </row>
    <row r="205" spans="1:21">
      <c r="A205">
        <v>64</v>
      </c>
      <c r="B205">
        <v>1</v>
      </c>
      <c r="C205">
        <v>3</v>
      </c>
      <c r="D205">
        <v>170</v>
      </c>
      <c r="E205">
        <v>227</v>
      </c>
      <c r="F205">
        <v>0</v>
      </c>
      <c r="G205">
        <v>0</v>
      </c>
      <c r="H205">
        <v>155</v>
      </c>
      <c r="I205">
        <v>0</v>
      </c>
      <c r="J205">
        <v>0.6</v>
      </c>
      <c r="K205">
        <v>1</v>
      </c>
      <c r="L205">
        <v>0</v>
      </c>
      <c r="M205">
        <v>3</v>
      </c>
      <c r="N205">
        <v>1</v>
      </c>
      <c r="O205" t="str">
        <f t="shared" si="18"/>
        <v>Male</v>
      </c>
      <c r="P205" t="str">
        <f t="shared" si="19"/>
        <v>Heart Disease</v>
      </c>
      <c r="Q205" t="str">
        <f t="shared" si="20"/>
        <v>Asymptomatic</v>
      </c>
      <c r="R205" t="str">
        <f t="shared" si="21"/>
        <v>Normal</v>
      </c>
      <c r="S205" t="str">
        <f t="shared" si="22"/>
        <v>No</v>
      </c>
      <c r="T205" t="str" cm="1">
        <f t="array" ref="T205">_xlfn.IFS(A204&lt;30,"18-29",A204&lt;40,"30-39",A204&lt;50,"40-49",A204&lt;60,"50-59",A204&gt;=60,"60+")</f>
        <v>50-59</v>
      </c>
      <c r="U205" t="str">
        <f t="shared" si="23"/>
        <v>High (Stage 2)</v>
      </c>
    </row>
    <row r="206" spans="1:21">
      <c r="A206">
        <v>66</v>
      </c>
      <c r="B206">
        <v>0</v>
      </c>
      <c r="C206">
        <v>2</v>
      </c>
      <c r="D206">
        <v>146</v>
      </c>
      <c r="E206">
        <v>278</v>
      </c>
      <c r="F206">
        <v>0</v>
      </c>
      <c r="G206">
        <v>0</v>
      </c>
      <c r="H206">
        <v>152</v>
      </c>
      <c r="I206">
        <v>0</v>
      </c>
      <c r="J206">
        <v>0</v>
      </c>
      <c r="K206">
        <v>1</v>
      </c>
      <c r="L206">
        <v>1</v>
      </c>
      <c r="M206">
        <v>2</v>
      </c>
      <c r="N206">
        <v>1</v>
      </c>
      <c r="O206" t="str">
        <f t="shared" si="18"/>
        <v>Female</v>
      </c>
      <c r="P206" t="str">
        <f t="shared" si="19"/>
        <v>Heart Disease</v>
      </c>
      <c r="Q206" t="str">
        <f t="shared" si="20"/>
        <v>Non-Anginal Pain</v>
      </c>
      <c r="R206" t="str">
        <f t="shared" si="21"/>
        <v>Normal</v>
      </c>
      <c r="S206" t="str">
        <f t="shared" si="22"/>
        <v>No</v>
      </c>
      <c r="T206" t="str" cm="1">
        <f t="array" ref="T206">_xlfn.IFS(A205&lt;30,"18-29",A205&lt;40,"30-39",A205&lt;50,"40-49",A205&lt;60,"50-59",A205&gt;=60,"60+")</f>
        <v>60+</v>
      </c>
      <c r="U206" t="str">
        <f t="shared" si="23"/>
        <v>High (Stage 2)</v>
      </c>
    </row>
    <row r="207" spans="1:21">
      <c r="A207">
        <v>42</v>
      </c>
      <c r="B207">
        <v>1</v>
      </c>
      <c r="C207">
        <v>3</v>
      </c>
      <c r="D207">
        <v>148</v>
      </c>
      <c r="E207">
        <v>244</v>
      </c>
      <c r="F207">
        <v>0</v>
      </c>
      <c r="G207">
        <v>0</v>
      </c>
      <c r="H207">
        <v>178</v>
      </c>
      <c r="I207">
        <v>0</v>
      </c>
      <c r="J207">
        <v>0.8</v>
      </c>
      <c r="K207">
        <v>2</v>
      </c>
      <c r="L207">
        <v>2</v>
      </c>
      <c r="M207">
        <v>2</v>
      </c>
      <c r="N207">
        <v>1</v>
      </c>
      <c r="O207" t="str">
        <f t="shared" si="18"/>
        <v>Male</v>
      </c>
      <c r="P207" t="str">
        <f t="shared" si="19"/>
        <v>Heart Disease</v>
      </c>
      <c r="Q207" t="str">
        <f t="shared" si="20"/>
        <v>Asymptomatic</v>
      </c>
      <c r="R207" t="str">
        <f t="shared" si="21"/>
        <v>Normal</v>
      </c>
      <c r="S207" t="str">
        <f t="shared" si="22"/>
        <v>No</v>
      </c>
      <c r="T207" t="str" cm="1">
        <f t="array" ref="T207">_xlfn.IFS(A206&lt;30,"18-29",A206&lt;40,"30-39",A206&lt;50,"40-49",A206&lt;60,"50-59",A206&gt;=60,"60+")</f>
        <v>60+</v>
      </c>
      <c r="U207" t="str">
        <f t="shared" si="23"/>
        <v>High (Stage 2)</v>
      </c>
    </row>
    <row r="208" spans="1:21">
      <c r="A208">
        <v>59</v>
      </c>
      <c r="B208">
        <v>1</v>
      </c>
      <c r="C208">
        <v>2</v>
      </c>
      <c r="D208">
        <v>126</v>
      </c>
      <c r="E208">
        <v>218</v>
      </c>
      <c r="F208">
        <v>1</v>
      </c>
      <c r="G208">
        <v>1</v>
      </c>
      <c r="H208">
        <v>134</v>
      </c>
      <c r="I208">
        <v>0</v>
      </c>
      <c r="J208">
        <v>2.2000000000000002</v>
      </c>
      <c r="K208">
        <v>1</v>
      </c>
      <c r="L208">
        <v>1</v>
      </c>
      <c r="M208">
        <v>1</v>
      </c>
      <c r="N208">
        <v>0</v>
      </c>
      <c r="O208" t="str">
        <f t="shared" si="18"/>
        <v>Male</v>
      </c>
      <c r="P208" t="str">
        <f t="shared" si="19"/>
        <v>No Disease</v>
      </c>
      <c r="Q208" t="str">
        <f t="shared" si="20"/>
        <v>Non-Anginal Pain</v>
      </c>
      <c r="R208" t="str">
        <f t="shared" si="21"/>
        <v>High</v>
      </c>
      <c r="S208" t="str">
        <f t="shared" si="22"/>
        <v>No</v>
      </c>
      <c r="T208" t="str" cm="1">
        <f t="array" ref="T208">_xlfn.IFS(A207&lt;30,"18-29",A207&lt;40,"30-39",A207&lt;50,"40-49",A207&lt;60,"50-59",A207&gt;=60,"60+")</f>
        <v>40-49</v>
      </c>
      <c r="U208" t="str">
        <f t="shared" si="23"/>
        <v>Elevated</v>
      </c>
    </row>
    <row r="209" spans="1:21">
      <c r="A209">
        <v>41</v>
      </c>
      <c r="B209">
        <v>1</v>
      </c>
      <c r="C209">
        <v>2</v>
      </c>
      <c r="D209">
        <v>112</v>
      </c>
      <c r="E209">
        <v>250</v>
      </c>
      <c r="F209">
        <v>0</v>
      </c>
      <c r="G209">
        <v>1</v>
      </c>
      <c r="H209">
        <v>179</v>
      </c>
      <c r="I209">
        <v>0</v>
      </c>
      <c r="J209">
        <v>0</v>
      </c>
      <c r="K209">
        <v>2</v>
      </c>
      <c r="L209">
        <v>0</v>
      </c>
      <c r="M209">
        <v>2</v>
      </c>
      <c r="N209">
        <v>1</v>
      </c>
      <c r="O209" t="str">
        <f t="shared" si="18"/>
        <v>Male</v>
      </c>
      <c r="P209" t="str">
        <f t="shared" si="19"/>
        <v>Heart Disease</v>
      </c>
      <c r="Q209" t="str">
        <f t="shared" si="20"/>
        <v>Non-Anginal Pain</v>
      </c>
      <c r="R209" t="str">
        <f t="shared" si="21"/>
        <v>Normal</v>
      </c>
      <c r="S209" t="str">
        <f t="shared" si="22"/>
        <v>No</v>
      </c>
      <c r="T209" t="str" cm="1">
        <f t="array" ref="T209">_xlfn.IFS(A208&lt;30,"18-29",A208&lt;40,"30-39",A208&lt;50,"40-49",A208&lt;60,"50-59",A208&gt;=60,"60+")</f>
        <v>50-59</v>
      </c>
      <c r="U209" t="str">
        <f t="shared" si="23"/>
        <v>Normal</v>
      </c>
    </row>
    <row r="210" spans="1:21">
      <c r="A210">
        <v>38</v>
      </c>
      <c r="B210">
        <v>1</v>
      </c>
      <c r="C210">
        <v>2</v>
      </c>
      <c r="D210">
        <v>138</v>
      </c>
      <c r="E210">
        <v>175</v>
      </c>
      <c r="F210">
        <v>0</v>
      </c>
      <c r="G210">
        <v>1</v>
      </c>
      <c r="H210">
        <v>173</v>
      </c>
      <c r="I210">
        <v>0</v>
      </c>
      <c r="J210">
        <v>0</v>
      </c>
      <c r="K210">
        <v>2</v>
      </c>
      <c r="L210">
        <v>4</v>
      </c>
      <c r="M210">
        <v>2</v>
      </c>
      <c r="N210">
        <v>1</v>
      </c>
      <c r="O210" t="str">
        <f t="shared" si="18"/>
        <v>Male</v>
      </c>
      <c r="P210" t="str">
        <f t="shared" si="19"/>
        <v>Heart Disease</v>
      </c>
      <c r="Q210" t="str">
        <f t="shared" si="20"/>
        <v>Non-Anginal Pain</v>
      </c>
      <c r="R210" t="str">
        <f t="shared" si="21"/>
        <v>Normal</v>
      </c>
      <c r="S210" t="str">
        <f t="shared" si="22"/>
        <v>No</v>
      </c>
      <c r="T210" t="str" cm="1">
        <f t="array" ref="T210">_xlfn.IFS(A209&lt;30,"18-29",A209&lt;40,"30-39",A209&lt;50,"40-49",A209&lt;60,"50-59",A209&gt;=60,"60+")</f>
        <v>40-49</v>
      </c>
      <c r="U210" t="str">
        <f t="shared" si="23"/>
        <v>High (Stage 1)</v>
      </c>
    </row>
    <row r="211" spans="1:21">
      <c r="A211">
        <v>62</v>
      </c>
      <c r="B211">
        <v>1</v>
      </c>
      <c r="C211">
        <v>1</v>
      </c>
      <c r="D211">
        <v>120</v>
      </c>
      <c r="E211">
        <v>281</v>
      </c>
      <c r="F211">
        <v>0</v>
      </c>
      <c r="G211">
        <v>0</v>
      </c>
      <c r="H211">
        <v>103</v>
      </c>
      <c r="I211">
        <v>0</v>
      </c>
      <c r="J211">
        <v>1.4</v>
      </c>
      <c r="K211">
        <v>1</v>
      </c>
      <c r="L211">
        <v>1</v>
      </c>
      <c r="M211">
        <v>3</v>
      </c>
      <c r="N211">
        <v>0</v>
      </c>
      <c r="O211" t="str">
        <f t="shared" si="18"/>
        <v>Male</v>
      </c>
      <c r="P211" t="str">
        <f t="shared" si="19"/>
        <v>No Disease</v>
      </c>
      <c r="Q211" t="str">
        <f t="shared" si="20"/>
        <v>Atypical Angina</v>
      </c>
      <c r="R211" t="str">
        <f t="shared" si="21"/>
        <v>Normal</v>
      </c>
      <c r="S211" t="str">
        <f t="shared" si="22"/>
        <v>No</v>
      </c>
      <c r="T211" t="str" cm="1">
        <f t="array" ref="T211">_xlfn.IFS(A210&lt;30,"18-29",A210&lt;40,"30-39",A210&lt;50,"40-49",A210&lt;60,"50-59",A210&gt;=60,"60+")</f>
        <v>30-39</v>
      </c>
      <c r="U211" t="str">
        <f t="shared" si="23"/>
        <v>Elevated</v>
      </c>
    </row>
    <row r="212" spans="1:21">
      <c r="A212">
        <v>42</v>
      </c>
      <c r="B212">
        <v>1</v>
      </c>
      <c r="C212">
        <v>2</v>
      </c>
      <c r="D212">
        <v>120</v>
      </c>
      <c r="E212">
        <v>240</v>
      </c>
      <c r="F212">
        <v>1</v>
      </c>
      <c r="G212">
        <v>1</v>
      </c>
      <c r="H212">
        <v>194</v>
      </c>
      <c r="I212">
        <v>0</v>
      </c>
      <c r="J212">
        <v>0.8</v>
      </c>
      <c r="K212">
        <v>0</v>
      </c>
      <c r="L212">
        <v>0</v>
      </c>
      <c r="M212">
        <v>3</v>
      </c>
      <c r="N212">
        <v>1</v>
      </c>
      <c r="O212" t="str">
        <f t="shared" si="18"/>
        <v>Male</v>
      </c>
      <c r="P212" t="str">
        <f t="shared" si="19"/>
        <v>Heart Disease</v>
      </c>
      <c r="Q212" t="str">
        <f t="shared" si="20"/>
        <v>Non-Anginal Pain</v>
      </c>
      <c r="R212" t="str">
        <f t="shared" si="21"/>
        <v>High</v>
      </c>
      <c r="S212" t="str">
        <f t="shared" si="22"/>
        <v>No</v>
      </c>
      <c r="T212" t="str" cm="1">
        <f t="array" ref="T212">_xlfn.IFS(A211&lt;30,"18-29",A211&lt;40,"30-39",A211&lt;50,"40-49",A211&lt;60,"50-59",A211&gt;=60,"60+")</f>
        <v>60+</v>
      </c>
      <c r="U212" t="str">
        <f t="shared" si="23"/>
        <v>Elevated</v>
      </c>
    </row>
    <row r="213" spans="1:21">
      <c r="A213">
        <v>67</v>
      </c>
      <c r="B213">
        <v>1</v>
      </c>
      <c r="C213">
        <v>0</v>
      </c>
      <c r="D213">
        <v>100</v>
      </c>
      <c r="E213">
        <v>299</v>
      </c>
      <c r="F213">
        <v>0</v>
      </c>
      <c r="G213">
        <v>0</v>
      </c>
      <c r="H213">
        <v>125</v>
      </c>
      <c r="I213">
        <v>1</v>
      </c>
      <c r="J213">
        <v>0.9</v>
      </c>
      <c r="K213">
        <v>1</v>
      </c>
      <c r="L213">
        <v>2</v>
      </c>
      <c r="M213">
        <v>2</v>
      </c>
      <c r="N213">
        <v>0</v>
      </c>
      <c r="O213" t="str">
        <f t="shared" si="18"/>
        <v>Male</v>
      </c>
      <c r="P213" t="str">
        <f t="shared" si="19"/>
        <v>No Disease</v>
      </c>
      <c r="Q213" t="str">
        <f t="shared" si="20"/>
        <v>Typical Angina</v>
      </c>
      <c r="R213" t="str">
        <f t="shared" si="21"/>
        <v>Normal</v>
      </c>
      <c r="S213" t="str">
        <f t="shared" si="22"/>
        <v>Yes</v>
      </c>
      <c r="T213" t="str" cm="1">
        <f t="array" ref="T213">_xlfn.IFS(A212&lt;30,"18-29",A212&lt;40,"30-39",A212&lt;50,"40-49",A212&lt;60,"50-59",A212&gt;=60,"60+")</f>
        <v>40-49</v>
      </c>
      <c r="U213" t="str">
        <f t="shared" si="23"/>
        <v>Normal</v>
      </c>
    </row>
    <row r="214" spans="1:21">
      <c r="A214">
        <v>50</v>
      </c>
      <c r="B214">
        <v>1</v>
      </c>
      <c r="C214">
        <v>0</v>
      </c>
      <c r="D214">
        <v>150</v>
      </c>
      <c r="E214">
        <v>243</v>
      </c>
      <c r="F214">
        <v>0</v>
      </c>
      <c r="G214">
        <v>0</v>
      </c>
      <c r="H214">
        <v>128</v>
      </c>
      <c r="I214">
        <v>0</v>
      </c>
      <c r="J214">
        <v>2.6</v>
      </c>
      <c r="K214">
        <v>1</v>
      </c>
      <c r="L214">
        <v>0</v>
      </c>
      <c r="M214">
        <v>3</v>
      </c>
      <c r="N214">
        <v>0</v>
      </c>
      <c r="O214" t="str">
        <f t="shared" si="18"/>
        <v>Male</v>
      </c>
      <c r="P214" t="str">
        <f t="shared" si="19"/>
        <v>No Disease</v>
      </c>
      <c r="Q214" t="str">
        <f t="shared" si="20"/>
        <v>Typical Angina</v>
      </c>
      <c r="R214" t="str">
        <f t="shared" si="21"/>
        <v>Normal</v>
      </c>
      <c r="S214" t="str">
        <f t="shared" si="22"/>
        <v>No</v>
      </c>
      <c r="T214" t="str" cm="1">
        <f t="array" ref="T214">_xlfn.IFS(A213&lt;30,"18-29",A213&lt;40,"30-39",A213&lt;50,"40-49",A213&lt;60,"50-59",A213&gt;=60,"60+")</f>
        <v>60+</v>
      </c>
      <c r="U214" t="str">
        <f t="shared" si="23"/>
        <v>High (Stage 2)</v>
      </c>
    </row>
    <row r="215" spans="1:21">
      <c r="A215">
        <v>43</v>
      </c>
      <c r="B215">
        <v>1</v>
      </c>
      <c r="C215">
        <v>2</v>
      </c>
      <c r="D215">
        <v>130</v>
      </c>
      <c r="E215">
        <v>315</v>
      </c>
      <c r="F215">
        <v>0</v>
      </c>
      <c r="G215">
        <v>1</v>
      </c>
      <c r="H215">
        <v>162</v>
      </c>
      <c r="I215">
        <v>0</v>
      </c>
      <c r="J215">
        <v>1.9</v>
      </c>
      <c r="K215">
        <v>2</v>
      </c>
      <c r="L215">
        <v>1</v>
      </c>
      <c r="M215">
        <v>2</v>
      </c>
      <c r="N215">
        <v>1</v>
      </c>
      <c r="O215" t="str">
        <f t="shared" si="18"/>
        <v>Male</v>
      </c>
      <c r="P215" t="str">
        <f t="shared" si="19"/>
        <v>Heart Disease</v>
      </c>
      <c r="Q215" t="str">
        <f t="shared" si="20"/>
        <v>Non-Anginal Pain</v>
      </c>
      <c r="R215" t="str">
        <f t="shared" si="21"/>
        <v>Normal</v>
      </c>
      <c r="S215" t="str">
        <f t="shared" si="22"/>
        <v>No</v>
      </c>
      <c r="T215" t="str" cm="1">
        <f t="array" ref="T215">_xlfn.IFS(A214&lt;30,"18-29",A214&lt;40,"30-39",A214&lt;50,"40-49",A214&lt;60,"50-59",A214&gt;=60,"60+")</f>
        <v>50-59</v>
      </c>
      <c r="U215" t="str">
        <f t="shared" si="23"/>
        <v>High (Stage 1)</v>
      </c>
    </row>
    <row r="216" spans="1:21">
      <c r="A216">
        <v>45</v>
      </c>
      <c r="B216">
        <v>1</v>
      </c>
      <c r="C216">
        <v>1</v>
      </c>
      <c r="D216">
        <v>128</v>
      </c>
      <c r="E216">
        <v>308</v>
      </c>
      <c r="F216">
        <v>0</v>
      </c>
      <c r="G216">
        <v>0</v>
      </c>
      <c r="H216">
        <v>170</v>
      </c>
      <c r="I216">
        <v>0</v>
      </c>
      <c r="J216">
        <v>0</v>
      </c>
      <c r="K216">
        <v>2</v>
      </c>
      <c r="L216">
        <v>0</v>
      </c>
      <c r="M216">
        <v>2</v>
      </c>
      <c r="N216">
        <v>1</v>
      </c>
      <c r="O216" t="str">
        <f t="shared" si="18"/>
        <v>Male</v>
      </c>
      <c r="P216" t="str">
        <f t="shared" si="19"/>
        <v>Heart Disease</v>
      </c>
      <c r="Q216" t="str">
        <f t="shared" si="20"/>
        <v>Atypical Angina</v>
      </c>
      <c r="R216" t="str">
        <f t="shared" si="21"/>
        <v>Normal</v>
      </c>
      <c r="S216" t="str">
        <f t="shared" si="22"/>
        <v>No</v>
      </c>
      <c r="T216" t="str" cm="1">
        <f t="array" ref="T216">_xlfn.IFS(A215&lt;30,"18-29",A215&lt;40,"30-39",A215&lt;50,"40-49",A215&lt;60,"50-59",A215&gt;=60,"60+")</f>
        <v>40-49</v>
      </c>
      <c r="U216" t="str">
        <f t="shared" si="23"/>
        <v>Elevated</v>
      </c>
    </row>
    <row r="217" spans="1:21">
      <c r="A217">
        <v>49</v>
      </c>
      <c r="B217">
        <v>1</v>
      </c>
      <c r="C217">
        <v>1</v>
      </c>
      <c r="D217">
        <v>130</v>
      </c>
      <c r="E217">
        <v>266</v>
      </c>
      <c r="F217">
        <v>0</v>
      </c>
      <c r="G217">
        <v>1</v>
      </c>
      <c r="H217">
        <v>171</v>
      </c>
      <c r="I217">
        <v>0</v>
      </c>
      <c r="J217">
        <v>0.6</v>
      </c>
      <c r="K217">
        <v>2</v>
      </c>
      <c r="L217">
        <v>0</v>
      </c>
      <c r="M217">
        <v>2</v>
      </c>
      <c r="N217">
        <v>1</v>
      </c>
      <c r="O217" t="str">
        <f t="shared" si="18"/>
        <v>Male</v>
      </c>
      <c r="P217" t="str">
        <f t="shared" si="19"/>
        <v>Heart Disease</v>
      </c>
      <c r="Q217" t="str">
        <f t="shared" si="20"/>
        <v>Atypical Angina</v>
      </c>
      <c r="R217" t="str">
        <f t="shared" si="21"/>
        <v>Normal</v>
      </c>
      <c r="S217" t="str">
        <f t="shared" si="22"/>
        <v>No</v>
      </c>
      <c r="T217" t="str" cm="1">
        <f t="array" ref="T217">_xlfn.IFS(A216&lt;30,"18-29",A216&lt;40,"30-39",A216&lt;50,"40-49",A216&lt;60,"50-59",A216&gt;=60,"60+")</f>
        <v>40-49</v>
      </c>
      <c r="U217" t="str">
        <f t="shared" si="23"/>
        <v>High (Stage 1)</v>
      </c>
    </row>
    <row r="218" spans="1:21">
      <c r="A218">
        <v>65</v>
      </c>
      <c r="B218">
        <v>1</v>
      </c>
      <c r="C218">
        <v>0</v>
      </c>
      <c r="D218">
        <v>135</v>
      </c>
      <c r="E218">
        <v>254</v>
      </c>
      <c r="F218">
        <v>0</v>
      </c>
      <c r="G218">
        <v>0</v>
      </c>
      <c r="H218">
        <v>127</v>
      </c>
      <c r="I218">
        <v>0</v>
      </c>
      <c r="J218">
        <v>2.8</v>
      </c>
      <c r="K218">
        <v>1</v>
      </c>
      <c r="L218">
        <v>1</v>
      </c>
      <c r="M218">
        <v>3</v>
      </c>
      <c r="N218">
        <v>0</v>
      </c>
      <c r="O218" t="str">
        <f t="shared" si="18"/>
        <v>Male</v>
      </c>
      <c r="P218" t="str">
        <f t="shared" si="19"/>
        <v>No Disease</v>
      </c>
      <c r="Q218" t="str">
        <f t="shared" si="20"/>
        <v>Typical Angina</v>
      </c>
      <c r="R218" t="str">
        <f t="shared" si="21"/>
        <v>Normal</v>
      </c>
      <c r="S218" t="str">
        <f t="shared" si="22"/>
        <v>No</v>
      </c>
      <c r="T218" t="str" cm="1">
        <f t="array" ref="T218">_xlfn.IFS(A217&lt;30,"18-29",A217&lt;40,"30-39",A217&lt;50,"40-49",A217&lt;60,"50-59",A217&gt;=60,"60+")</f>
        <v>40-49</v>
      </c>
      <c r="U218" t="str">
        <f t="shared" si="23"/>
        <v>High (Stage 1)</v>
      </c>
    </row>
    <row r="219" spans="1:21">
      <c r="A219">
        <v>41</v>
      </c>
      <c r="B219">
        <v>1</v>
      </c>
      <c r="C219">
        <v>1</v>
      </c>
      <c r="D219">
        <v>120</v>
      </c>
      <c r="E219">
        <v>157</v>
      </c>
      <c r="F219">
        <v>0</v>
      </c>
      <c r="G219">
        <v>1</v>
      </c>
      <c r="H219">
        <v>182</v>
      </c>
      <c r="I219">
        <v>0</v>
      </c>
      <c r="J219">
        <v>0</v>
      </c>
      <c r="K219">
        <v>2</v>
      </c>
      <c r="L219">
        <v>0</v>
      </c>
      <c r="M219">
        <v>2</v>
      </c>
      <c r="N219">
        <v>1</v>
      </c>
      <c r="O219" t="str">
        <f t="shared" si="18"/>
        <v>Male</v>
      </c>
      <c r="P219" t="str">
        <f t="shared" si="19"/>
        <v>Heart Disease</v>
      </c>
      <c r="Q219" t="str">
        <f t="shared" si="20"/>
        <v>Atypical Angina</v>
      </c>
      <c r="R219" t="str">
        <f t="shared" si="21"/>
        <v>Normal</v>
      </c>
      <c r="S219" t="str">
        <f t="shared" si="22"/>
        <v>No</v>
      </c>
      <c r="T219" t="str" cm="1">
        <f t="array" ref="T219">_xlfn.IFS(A218&lt;30,"18-29",A218&lt;40,"30-39",A218&lt;50,"40-49",A218&lt;60,"50-59",A218&gt;=60,"60+")</f>
        <v>60+</v>
      </c>
      <c r="U219" t="str">
        <f t="shared" si="23"/>
        <v>Elevated</v>
      </c>
    </row>
    <row r="220" spans="1:21">
      <c r="A220">
        <v>46</v>
      </c>
      <c r="B220">
        <v>1</v>
      </c>
      <c r="C220">
        <v>0</v>
      </c>
      <c r="D220">
        <v>140</v>
      </c>
      <c r="E220">
        <v>311</v>
      </c>
      <c r="F220">
        <v>0</v>
      </c>
      <c r="G220">
        <v>1</v>
      </c>
      <c r="H220">
        <v>120</v>
      </c>
      <c r="I220">
        <v>1</v>
      </c>
      <c r="J220">
        <v>1.8</v>
      </c>
      <c r="K220">
        <v>1</v>
      </c>
      <c r="L220">
        <v>2</v>
      </c>
      <c r="M220">
        <v>3</v>
      </c>
      <c r="N220">
        <v>0</v>
      </c>
      <c r="O220" t="str">
        <f t="shared" si="18"/>
        <v>Male</v>
      </c>
      <c r="P220" t="str">
        <f t="shared" si="19"/>
        <v>No Disease</v>
      </c>
      <c r="Q220" t="str">
        <f t="shared" si="20"/>
        <v>Typical Angina</v>
      </c>
      <c r="R220" t="str">
        <f t="shared" si="21"/>
        <v>Normal</v>
      </c>
      <c r="S220" t="str">
        <f t="shared" si="22"/>
        <v>Yes</v>
      </c>
      <c r="T220" t="str" cm="1">
        <f t="array" ref="T220">_xlfn.IFS(A219&lt;30,"18-29",A219&lt;40,"30-39",A219&lt;50,"40-49",A219&lt;60,"50-59",A219&gt;=60,"60+")</f>
        <v>40-49</v>
      </c>
      <c r="U220" t="str">
        <f t="shared" si="23"/>
        <v>High (Stage 2)</v>
      </c>
    </row>
    <row r="221" spans="1:21">
      <c r="A221">
        <v>54</v>
      </c>
      <c r="B221">
        <v>1</v>
      </c>
      <c r="C221">
        <v>0</v>
      </c>
      <c r="D221">
        <v>122</v>
      </c>
      <c r="E221">
        <v>286</v>
      </c>
      <c r="F221">
        <v>0</v>
      </c>
      <c r="G221">
        <v>0</v>
      </c>
      <c r="H221">
        <v>116</v>
      </c>
      <c r="I221">
        <v>1</v>
      </c>
      <c r="J221">
        <v>3.2</v>
      </c>
      <c r="K221">
        <v>1</v>
      </c>
      <c r="L221">
        <v>2</v>
      </c>
      <c r="M221">
        <v>2</v>
      </c>
      <c r="N221">
        <v>0</v>
      </c>
      <c r="O221" t="str">
        <f t="shared" si="18"/>
        <v>Male</v>
      </c>
      <c r="P221" t="str">
        <f t="shared" si="19"/>
        <v>No Disease</v>
      </c>
      <c r="Q221" t="str">
        <f t="shared" si="20"/>
        <v>Typical Angina</v>
      </c>
      <c r="R221" t="str">
        <f t="shared" si="21"/>
        <v>Normal</v>
      </c>
      <c r="S221" t="str">
        <f t="shared" si="22"/>
        <v>Yes</v>
      </c>
      <c r="T221" t="str" cm="1">
        <f t="array" ref="T221">_xlfn.IFS(A220&lt;30,"18-29",A220&lt;40,"30-39",A220&lt;50,"40-49",A220&lt;60,"50-59",A220&gt;=60,"60+")</f>
        <v>40-49</v>
      </c>
      <c r="U221" t="str">
        <f t="shared" si="23"/>
        <v>Elevated</v>
      </c>
    </row>
    <row r="222" spans="1:21">
      <c r="A222">
        <v>57</v>
      </c>
      <c r="B222">
        <v>0</v>
      </c>
      <c r="C222">
        <v>1</v>
      </c>
      <c r="D222">
        <v>130</v>
      </c>
      <c r="E222">
        <v>236</v>
      </c>
      <c r="F222">
        <v>0</v>
      </c>
      <c r="G222">
        <v>0</v>
      </c>
      <c r="H222">
        <v>174</v>
      </c>
      <c r="I222">
        <v>0</v>
      </c>
      <c r="J222">
        <v>0</v>
      </c>
      <c r="K222">
        <v>1</v>
      </c>
      <c r="L222">
        <v>1</v>
      </c>
      <c r="M222">
        <v>2</v>
      </c>
      <c r="N222">
        <v>0</v>
      </c>
      <c r="O222" t="str">
        <f t="shared" si="18"/>
        <v>Female</v>
      </c>
      <c r="P222" t="str">
        <f t="shared" si="19"/>
        <v>No Disease</v>
      </c>
      <c r="Q222" t="str">
        <f t="shared" si="20"/>
        <v>Atypical Angina</v>
      </c>
      <c r="R222" t="str">
        <f t="shared" si="21"/>
        <v>Normal</v>
      </c>
      <c r="S222" t="str">
        <f t="shared" si="22"/>
        <v>No</v>
      </c>
      <c r="T222" t="str" cm="1">
        <f t="array" ref="T222">_xlfn.IFS(A221&lt;30,"18-29",A221&lt;40,"30-39",A221&lt;50,"40-49",A221&lt;60,"50-59",A221&gt;=60,"60+")</f>
        <v>50-59</v>
      </c>
      <c r="U222" t="str">
        <f t="shared" si="23"/>
        <v>High (Stage 1)</v>
      </c>
    </row>
    <row r="223" spans="1:21">
      <c r="A223">
        <v>63</v>
      </c>
      <c r="B223">
        <v>1</v>
      </c>
      <c r="C223">
        <v>0</v>
      </c>
      <c r="D223">
        <v>130</v>
      </c>
      <c r="E223">
        <v>254</v>
      </c>
      <c r="F223">
        <v>0</v>
      </c>
      <c r="G223">
        <v>0</v>
      </c>
      <c r="H223">
        <v>147</v>
      </c>
      <c r="I223">
        <v>0</v>
      </c>
      <c r="J223">
        <v>1.4</v>
      </c>
      <c r="K223">
        <v>1</v>
      </c>
      <c r="L223">
        <v>1</v>
      </c>
      <c r="M223">
        <v>3</v>
      </c>
      <c r="N223">
        <v>0</v>
      </c>
      <c r="O223" t="str">
        <f t="shared" si="18"/>
        <v>Male</v>
      </c>
      <c r="P223" t="str">
        <f t="shared" si="19"/>
        <v>No Disease</v>
      </c>
      <c r="Q223" t="str">
        <f t="shared" si="20"/>
        <v>Typical Angina</v>
      </c>
      <c r="R223" t="str">
        <f t="shared" si="21"/>
        <v>Normal</v>
      </c>
      <c r="S223" t="str">
        <f t="shared" si="22"/>
        <v>No</v>
      </c>
      <c r="T223" t="str" cm="1">
        <f t="array" ref="T223">_xlfn.IFS(A222&lt;30,"18-29",A222&lt;40,"30-39",A222&lt;50,"40-49",A222&lt;60,"50-59",A222&gt;=60,"60+")</f>
        <v>50-59</v>
      </c>
      <c r="U223" t="str">
        <f t="shared" si="23"/>
        <v>High (Stage 1)</v>
      </c>
    </row>
    <row r="224" spans="1:21">
      <c r="A224">
        <v>64</v>
      </c>
      <c r="B224">
        <v>1</v>
      </c>
      <c r="C224">
        <v>3</v>
      </c>
      <c r="D224">
        <v>110</v>
      </c>
      <c r="E224">
        <v>211</v>
      </c>
      <c r="F224">
        <v>0</v>
      </c>
      <c r="G224">
        <v>0</v>
      </c>
      <c r="H224">
        <v>144</v>
      </c>
      <c r="I224">
        <v>1</v>
      </c>
      <c r="J224">
        <v>1.8</v>
      </c>
      <c r="K224">
        <v>1</v>
      </c>
      <c r="L224">
        <v>0</v>
      </c>
      <c r="M224">
        <v>2</v>
      </c>
      <c r="N224">
        <v>1</v>
      </c>
      <c r="O224" t="str">
        <f t="shared" si="18"/>
        <v>Male</v>
      </c>
      <c r="P224" t="str">
        <f t="shared" si="19"/>
        <v>Heart Disease</v>
      </c>
      <c r="Q224" t="str">
        <f t="shared" si="20"/>
        <v>Asymptomatic</v>
      </c>
      <c r="R224" t="str">
        <f t="shared" si="21"/>
        <v>Normal</v>
      </c>
      <c r="S224" t="str">
        <f t="shared" si="22"/>
        <v>Yes</v>
      </c>
      <c r="T224" t="str" cm="1">
        <f t="array" ref="T224">_xlfn.IFS(A223&lt;30,"18-29",A223&lt;40,"30-39",A223&lt;50,"40-49",A223&lt;60,"50-59",A223&gt;=60,"60+")</f>
        <v>60+</v>
      </c>
      <c r="U224" t="str">
        <f t="shared" si="23"/>
        <v>Normal</v>
      </c>
    </row>
    <row r="225" spans="1:21">
      <c r="A225">
        <v>39</v>
      </c>
      <c r="B225">
        <v>0</v>
      </c>
      <c r="C225">
        <v>2</v>
      </c>
      <c r="D225">
        <v>94</v>
      </c>
      <c r="E225">
        <v>199</v>
      </c>
      <c r="F225">
        <v>0</v>
      </c>
      <c r="G225">
        <v>1</v>
      </c>
      <c r="H225">
        <v>179</v>
      </c>
      <c r="I225">
        <v>0</v>
      </c>
      <c r="J225">
        <v>0</v>
      </c>
      <c r="K225">
        <v>2</v>
      </c>
      <c r="L225">
        <v>0</v>
      </c>
      <c r="M225">
        <v>2</v>
      </c>
      <c r="N225">
        <v>1</v>
      </c>
      <c r="O225" t="str">
        <f t="shared" si="18"/>
        <v>Female</v>
      </c>
      <c r="P225" t="str">
        <f t="shared" si="19"/>
        <v>Heart Disease</v>
      </c>
      <c r="Q225" t="str">
        <f t="shared" si="20"/>
        <v>Non-Anginal Pain</v>
      </c>
      <c r="R225" t="str">
        <f t="shared" si="21"/>
        <v>Normal</v>
      </c>
      <c r="S225" t="str">
        <f t="shared" si="22"/>
        <v>No</v>
      </c>
      <c r="T225" t="str" cm="1">
        <f t="array" ref="T225">_xlfn.IFS(A224&lt;30,"18-29",A224&lt;40,"30-39",A224&lt;50,"40-49",A224&lt;60,"50-59",A224&gt;=60,"60+")</f>
        <v>60+</v>
      </c>
      <c r="U225" t="str">
        <f t="shared" si="23"/>
        <v>Normal</v>
      </c>
    </row>
    <row r="226" spans="1:21">
      <c r="A226">
        <v>51</v>
      </c>
      <c r="B226">
        <v>1</v>
      </c>
      <c r="C226">
        <v>0</v>
      </c>
      <c r="D226">
        <v>140</v>
      </c>
      <c r="E226">
        <v>261</v>
      </c>
      <c r="F226">
        <v>0</v>
      </c>
      <c r="G226">
        <v>0</v>
      </c>
      <c r="H226">
        <v>186</v>
      </c>
      <c r="I226">
        <v>1</v>
      </c>
      <c r="J226">
        <v>0</v>
      </c>
      <c r="K226">
        <v>2</v>
      </c>
      <c r="L226">
        <v>0</v>
      </c>
      <c r="M226">
        <v>2</v>
      </c>
      <c r="N226">
        <v>1</v>
      </c>
      <c r="O226" t="str">
        <f t="shared" si="18"/>
        <v>Male</v>
      </c>
      <c r="P226" t="str">
        <f t="shared" si="19"/>
        <v>Heart Disease</v>
      </c>
      <c r="Q226" t="str">
        <f t="shared" si="20"/>
        <v>Typical Angina</v>
      </c>
      <c r="R226" t="str">
        <f t="shared" si="21"/>
        <v>Normal</v>
      </c>
      <c r="S226" t="str">
        <f t="shared" si="22"/>
        <v>Yes</v>
      </c>
      <c r="T226" t="str" cm="1">
        <f t="array" ref="T226">_xlfn.IFS(A225&lt;30,"18-29",A225&lt;40,"30-39",A225&lt;50,"40-49",A225&lt;60,"50-59",A225&gt;=60,"60+")</f>
        <v>30-39</v>
      </c>
      <c r="U226" t="str">
        <f t="shared" si="23"/>
        <v>High (Stage 2)</v>
      </c>
    </row>
    <row r="227" spans="1:21">
      <c r="A227">
        <v>54</v>
      </c>
      <c r="B227">
        <v>1</v>
      </c>
      <c r="C227">
        <v>2</v>
      </c>
      <c r="D227">
        <v>150</v>
      </c>
      <c r="E227">
        <v>232</v>
      </c>
      <c r="F227">
        <v>0</v>
      </c>
      <c r="G227">
        <v>0</v>
      </c>
      <c r="H227">
        <v>165</v>
      </c>
      <c r="I227">
        <v>0</v>
      </c>
      <c r="J227">
        <v>1.6</v>
      </c>
      <c r="K227">
        <v>2</v>
      </c>
      <c r="L227">
        <v>0</v>
      </c>
      <c r="M227">
        <v>3</v>
      </c>
      <c r="N227">
        <v>1</v>
      </c>
      <c r="O227" t="str">
        <f t="shared" si="18"/>
        <v>Male</v>
      </c>
      <c r="P227" t="str">
        <f t="shared" si="19"/>
        <v>Heart Disease</v>
      </c>
      <c r="Q227" t="str">
        <f t="shared" si="20"/>
        <v>Non-Anginal Pain</v>
      </c>
      <c r="R227" t="str">
        <f t="shared" si="21"/>
        <v>Normal</v>
      </c>
      <c r="S227" t="str">
        <f t="shared" si="22"/>
        <v>No</v>
      </c>
      <c r="T227" t="str" cm="1">
        <f t="array" ref="T227">_xlfn.IFS(A226&lt;30,"18-29",A226&lt;40,"30-39",A226&lt;50,"40-49",A226&lt;60,"50-59",A226&gt;=60,"60+")</f>
        <v>50-59</v>
      </c>
      <c r="U227" t="str">
        <f t="shared" si="23"/>
        <v>High (Stage 2)</v>
      </c>
    </row>
    <row r="228" spans="1:21">
      <c r="A228">
        <v>49</v>
      </c>
      <c r="B228">
        <v>1</v>
      </c>
      <c r="C228">
        <v>2</v>
      </c>
      <c r="D228">
        <v>118</v>
      </c>
      <c r="E228">
        <v>149</v>
      </c>
      <c r="F228">
        <v>0</v>
      </c>
      <c r="G228">
        <v>0</v>
      </c>
      <c r="H228">
        <v>126</v>
      </c>
      <c r="I228">
        <v>0</v>
      </c>
      <c r="J228">
        <v>0.8</v>
      </c>
      <c r="K228">
        <v>2</v>
      </c>
      <c r="L228">
        <v>3</v>
      </c>
      <c r="M228">
        <v>2</v>
      </c>
      <c r="N228">
        <v>0</v>
      </c>
      <c r="O228" t="str">
        <f t="shared" si="18"/>
        <v>Male</v>
      </c>
      <c r="P228" t="str">
        <f t="shared" si="19"/>
        <v>No Disease</v>
      </c>
      <c r="Q228" t="str">
        <f t="shared" si="20"/>
        <v>Non-Anginal Pain</v>
      </c>
      <c r="R228" t="str">
        <f t="shared" si="21"/>
        <v>Normal</v>
      </c>
      <c r="S228" t="str">
        <f t="shared" si="22"/>
        <v>No</v>
      </c>
      <c r="T228" t="str" cm="1">
        <f t="array" ref="T228">_xlfn.IFS(A227&lt;30,"18-29",A227&lt;40,"30-39",A227&lt;50,"40-49",A227&lt;60,"50-59",A227&gt;=60,"60+")</f>
        <v>50-59</v>
      </c>
      <c r="U228" t="str">
        <f t="shared" si="23"/>
        <v>Normal</v>
      </c>
    </row>
    <row r="229" spans="1:21">
      <c r="A229">
        <v>44</v>
      </c>
      <c r="B229">
        <v>0</v>
      </c>
      <c r="C229">
        <v>2</v>
      </c>
      <c r="D229">
        <v>118</v>
      </c>
      <c r="E229">
        <v>242</v>
      </c>
      <c r="F229">
        <v>0</v>
      </c>
      <c r="G229">
        <v>1</v>
      </c>
      <c r="H229">
        <v>149</v>
      </c>
      <c r="I229">
        <v>0</v>
      </c>
      <c r="J229">
        <v>0.3</v>
      </c>
      <c r="K229">
        <v>1</v>
      </c>
      <c r="L229">
        <v>1</v>
      </c>
      <c r="M229">
        <v>2</v>
      </c>
      <c r="N229">
        <v>1</v>
      </c>
      <c r="O229" t="str">
        <f t="shared" si="18"/>
        <v>Female</v>
      </c>
      <c r="P229" t="str">
        <f t="shared" si="19"/>
        <v>Heart Disease</v>
      </c>
      <c r="Q229" t="str">
        <f t="shared" si="20"/>
        <v>Non-Anginal Pain</v>
      </c>
      <c r="R229" t="str">
        <f t="shared" si="21"/>
        <v>Normal</v>
      </c>
      <c r="S229" t="str">
        <f t="shared" si="22"/>
        <v>No</v>
      </c>
      <c r="T229" t="str" cm="1">
        <f t="array" ref="T229">_xlfn.IFS(A228&lt;30,"18-29",A228&lt;40,"30-39",A228&lt;50,"40-49",A228&lt;60,"50-59",A228&gt;=60,"60+")</f>
        <v>40-49</v>
      </c>
      <c r="U229" t="str">
        <f t="shared" si="23"/>
        <v>Normal</v>
      </c>
    </row>
    <row r="230" spans="1:21">
      <c r="A230">
        <v>52</v>
      </c>
      <c r="B230">
        <v>1</v>
      </c>
      <c r="C230">
        <v>1</v>
      </c>
      <c r="D230">
        <v>128</v>
      </c>
      <c r="E230">
        <v>205</v>
      </c>
      <c r="F230">
        <v>1</v>
      </c>
      <c r="G230">
        <v>1</v>
      </c>
      <c r="H230">
        <v>184</v>
      </c>
      <c r="I230">
        <v>0</v>
      </c>
      <c r="J230">
        <v>0</v>
      </c>
      <c r="K230">
        <v>2</v>
      </c>
      <c r="L230">
        <v>0</v>
      </c>
      <c r="M230">
        <v>2</v>
      </c>
      <c r="N230">
        <v>1</v>
      </c>
      <c r="O230" t="str">
        <f t="shared" si="18"/>
        <v>Male</v>
      </c>
      <c r="P230" t="str">
        <f t="shared" si="19"/>
        <v>Heart Disease</v>
      </c>
      <c r="Q230" t="str">
        <f t="shared" si="20"/>
        <v>Atypical Angina</v>
      </c>
      <c r="R230" t="str">
        <f t="shared" si="21"/>
        <v>High</v>
      </c>
      <c r="S230" t="str">
        <f t="shared" si="22"/>
        <v>No</v>
      </c>
      <c r="T230" t="str" cm="1">
        <f t="array" ref="T230">_xlfn.IFS(A229&lt;30,"18-29",A229&lt;40,"30-39",A229&lt;50,"40-49",A229&lt;60,"50-59",A229&gt;=60,"60+")</f>
        <v>40-49</v>
      </c>
      <c r="U230" t="str">
        <f t="shared" si="23"/>
        <v>Elevated</v>
      </c>
    </row>
    <row r="231" spans="1:21">
      <c r="A231">
        <v>66</v>
      </c>
      <c r="B231">
        <v>0</v>
      </c>
      <c r="C231">
        <v>0</v>
      </c>
      <c r="D231">
        <v>178</v>
      </c>
      <c r="E231">
        <v>228</v>
      </c>
      <c r="F231">
        <v>1</v>
      </c>
      <c r="G231">
        <v>1</v>
      </c>
      <c r="H231">
        <v>165</v>
      </c>
      <c r="I231">
        <v>1</v>
      </c>
      <c r="J231">
        <v>1</v>
      </c>
      <c r="K231">
        <v>1</v>
      </c>
      <c r="L231">
        <v>2</v>
      </c>
      <c r="M231">
        <v>3</v>
      </c>
      <c r="N231">
        <v>0</v>
      </c>
      <c r="O231" t="str">
        <f t="shared" si="18"/>
        <v>Female</v>
      </c>
      <c r="P231" t="str">
        <f t="shared" si="19"/>
        <v>No Disease</v>
      </c>
      <c r="Q231" t="str">
        <f t="shared" si="20"/>
        <v>Typical Angina</v>
      </c>
      <c r="R231" t="str">
        <f t="shared" si="21"/>
        <v>High</v>
      </c>
      <c r="S231" t="str">
        <f t="shared" si="22"/>
        <v>Yes</v>
      </c>
      <c r="T231" t="str" cm="1">
        <f t="array" ref="T231">_xlfn.IFS(A230&lt;30,"18-29",A230&lt;40,"30-39",A230&lt;50,"40-49",A230&lt;60,"50-59",A230&gt;=60,"60+")</f>
        <v>50-59</v>
      </c>
      <c r="U231" t="str">
        <f t="shared" si="23"/>
        <v>High (Stage 2)</v>
      </c>
    </row>
    <row r="232" spans="1:21">
      <c r="A232">
        <v>58</v>
      </c>
      <c r="B232">
        <v>1</v>
      </c>
      <c r="C232">
        <v>0</v>
      </c>
      <c r="D232">
        <v>125</v>
      </c>
      <c r="E232">
        <v>300</v>
      </c>
      <c r="F232">
        <v>0</v>
      </c>
      <c r="G232">
        <v>0</v>
      </c>
      <c r="H232">
        <v>171</v>
      </c>
      <c r="I232">
        <v>0</v>
      </c>
      <c r="J232">
        <v>0</v>
      </c>
      <c r="K232">
        <v>2</v>
      </c>
      <c r="L232">
        <v>2</v>
      </c>
      <c r="M232">
        <v>3</v>
      </c>
      <c r="N232">
        <v>0</v>
      </c>
      <c r="O232" t="str">
        <f t="shared" si="18"/>
        <v>Male</v>
      </c>
      <c r="P232" t="str">
        <f t="shared" si="19"/>
        <v>No Disease</v>
      </c>
      <c r="Q232" t="str">
        <f t="shared" si="20"/>
        <v>Typical Angina</v>
      </c>
      <c r="R232" t="str">
        <f t="shared" si="21"/>
        <v>Normal</v>
      </c>
      <c r="S232" t="str">
        <f t="shared" si="22"/>
        <v>No</v>
      </c>
      <c r="T232" t="str" cm="1">
        <f t="array" ref="T232">_xlfn.IFS(A231&lt;30,"18-29",A231&lt;40,"30-39",A231&lt;50,"40-49",A231&lt;60,"50-59",A231&gt;=60,"60+")</f>
        <v>60+</v>
      </c>
      <c r="U232" t="str">
        <f t="shared" si="23"/>
        <v>Elevated</v>
      </c>
    </row>
    <row r="233" spans="1:21">
      <c r="A233">
        <v>56</v>
      </c>
      <c r="B233">
        <v>1</v>
      </c>
      <c r="C233">
        <v>1</v>
      </c>
      <c r="D233">
        <v>120</v>
      </c>
      <c r="E233">
        <v>236</v>
      </c>
      <c r="F233">
        <v>0</v>
      </c>
      <c r="G233">
        <v>1</v>
      </c>
      <c r="H233">
        <v>178</v>
      </c>
      <c r="I233">
        <v>0</v>
      </c>
      <c r="J233">
        <v>0.8</v>
      </c>
      <c r="K233">
        <v>2</v>
      </c>
      <c r="L233">
        <v>0</v>
      </c>
      <c r="M233">
        <v>2</v>
      </c>
      <c r="N233">
        <v>1</v>
      </c>
      <c r="O233" t="str">
        <f t="shared" si="18"/>
        <v>Male</v>
      </c>
      <c r="P233" t="str">
        <f t="shared" si="19"/>
        <v>Heart Disease</v>
      </c>
      <c r="Q233" t="str">
        <f t="shared" si="20"/>
        <v>Atypical Angina</v>
      </c>
      <c r="R233" t="str">
        <f t="shared" si="21"/>
        <v>Normal</v>
      </c>
      <c r="S233" t="str">
        <f t="shared" si="22"/>
        <v>No</v>
      </c>
      <c r="T233" t="str" cm="1">
        <f t="array" ref="T233">_xlfn.IFS(A232&lt;30,"18-29",A232&lt;40,"30-39",A232&lt;50,"40-49",A232&lt;60,"50-59",A232&gt;=60,"60+")</f>
        <v>50-59</v>
      </c>
      <c r="U233" t="str">
        <f t="shared" si="23"/>
        <v>Elevated</v>
      </c>
    </row>
    <row r="234" spans="1:21">
      <c r="A234">
        <v>60</v>
      </c>
      <c r="B234">
        <v>1</v>
      </c>
      <c r="C234">
        <v>0</v>
      </c>
      <c r="D234">
        <v>125</v>
      </c>
      <c r="E234">
        <v>258</v>
      </c>
      <c r="F234">
        <v>0</v>
      </c>
      <c r="G234">
        <v>0</v>
      </c>
      <c r="H234">
        <v>141</v>
      </c>
      <c r="I234">
        <v>1</v>
      </c>
      <c r="J234">
        <v>2.8</v>
      </c>
      <c r="K234">
        <v>1</v>
      </c>
      <c r="L234">
        <v>1</v>
      </c>
      <c r="M234">
        <v>3</v>
      </c>
      <c r="N234">
        <v>0</v>
      </c>
      <c r="O234" t="str">
        <f t="shared" si="18"/>
        <v>Male</v>
      </c>
      <c r="P234" t="str">
        <f t="shared" si="19"/>
        <v>No Disease</v>
      </c>
      <c r="Q234" t="str">
        <f t="shared" si="20"/>
        <v>Typical Angina</v>
      </c>
      <c r="R234" t="str">
        <f t="shared" si="21"/>
        <v>Normal</v>
      </c>
      <c r="S234" t="str">
        <f t="shared" si="22"/>
        <v>Yes</v>
      </c>
      <c r="T234" t="str" cm="1">
        <f t="array" ref="T234">_xlfn.IFS(A233&lt;30,"18-29",A233&lt;40,"30-39",A233&lt;50,"40-49",A233&lt;60,"50-59",A233&gt;=60,"60+")</f>
        <v>50-59</v>
      </c>
      <c r="U234" t="str">
        <f t="shared" si="23"/>
        <v>Elevated</v>
      </c>
    </row>
    <row r="235" spans="1:21">
      <c r="A235">
        <v>41</v>
      </c>
      <c r="B235">
        <v>0</v>
      </c>
      <c r="C235">
        <v>1</v>
      </c>
      <c r="D235">
        <v>126</v>
      </c>
      <c r="E235">
        <v>306</v>
      </c>
      <c r="F235">
        <v>0</v>
      </c>
      <c r="G235">
        <v>1</v>
      </c>
      <c r="H235">
        <v>163</v>
      </c>
      <c r="I235">
        <v>0</v>
      </c>
      <c r="J235">
        <v>0</v>
      </c>
      <c r="K235">
        <v>2</v>
      </c>
      <c r="L235">
        <v>0</v>
      </c>
      <c r="M235">
        <v>2</v>
      </c>
      <c r="N235">
        <v>1</v>
      </c>
      <c r="O235" t="str">
        <f t="shared" si="18"/>
        <v>Female</v>
      </c>
      <c r="P235" t="str">
        <f t="shared" si="19"/>
        <v>Heart Disease</v>
      </c>
      <c r="Q235" t="str">
        <f t="shared" si="20"/>
        <v>Atypical Angina</v>
      </c>
      <c r="R235" t="str">
        <f t="shared" si="21"/>
        <v>Normal</v>
      </c>
      <c r="S235" t="str">
        <f t="shared" si="22"/>
        <v>No</v>
      </c>
      <c r="T235" t="str" cm="1">
        <f t="array" ref="T235">_xlfn.IFS(A234&lt;30,"18-29",A234&lt;40,"30-39",A234&lt;50,"40-49",A234&lt;60,"50-59",A234&gt;=60,"60+")</f>
        <v>60+</v>
      </c>
      <c r="U235" t="str">
        <f t="shared" si="23"/>
        <v>Elevated</v>
      </c>
    </row>
    <row r="236" spans="1:21">
      <c r="A236">
        <v>49</v>
      </c>
      <c r="B236">
        <v>0</v>
      </c>
      <c r="C236">
        <v>0</v>
      </c>
      <c r="D236">
        <v>130</v>
      </c>
      <c r="E236">
        <v>269</v>
      </c>
      <c r="F236">
        <v>0</v>
      </c>
      <c r="G236">
        <v>1</v>
      </c>
      <c r="H236">
        <v>163</v>
      </c>
      <c r="I236">
        <v>0</v>
      </c>
      <c r="J236">
        <v>0</v>
      </c>
      <c r="K236">
        <v>2</v>
      </c>
      <c r="L236">
        <v>0</v>
      </c>
      <c r="M236">
        <v>2</v>
      </c>
      <c r="N236">
        <v>1</v>
      </c>
      <c r="O236" t="str">
        <f t="shared" si="18"/>
        <v>Female</v>
      </c>
      <c r="P236" t="str">
        <f t="shared" si="19"/>
        <v>Heart Disease</v>
      </c>
      <c r="Q236" t="str">
        <f t="shared" si="20"/>
        <v>Typical Angina</v>
      </c>
      <c r="R236" t="str">
        <f t="shared" si="21"/>
        <v>Normal</v>
      </c>
      <c r="S236" t="str">
        <f t="shared" si="22"/>
        <v>No</v>
      </c>
      <c r="T236" t="str" cm="1">
        <f t="array" ref="T236">_xlfn.IFS(A235&lt;30,"18-29",A235&lt;40,"30-39",A235&lt;50,"40-49",A235&lt;60,"50-59",A235&gt;=60,"60+")</f>
        <v>40-49</v>
      </c>
      <c r="U236" t="str">
        <f t="shared" si="23"/>
        <v>High (Stage 1)</v>
      </c>
    </row>
    <row r="237" spans="1:21">
      <c r="A237">
        <v>64</v>
      </c>
      <c r="B237">
        <v>1</v>
      </c>
      <c r="C237">
        <v>3</v>
      </c>
      <c r="D237">
        <v>170</v>
      </c>
      <c r="E237">
        <v>227</v>
      </c>
      <c r="F237">
        <v>0</v>
      </c>
      <c r="G237">
        <v>0</v>
      </c>
      <c r="H237">
        <v>155</v>
      </c>
      <c r="I237">
        <v>0</v>
      </c>
      <c r="J237">
        <v>0.6</v>
      </c>
      <c r="K237">
        <v>1</v>
      </c>
      <c r="L237">
        <v>0</v>
      </c>
      <c r="M237">
        <v>3</v>
      </c>
      <c r="N237">
        <v>1</v>
      </c>
      <c r="O237" t="str">
        <f t="shared" si="18"/>
        <v>Male</v>
      </c>
      <c r="P237" t="str">
        <f t="shared" si="19"/>
        <v>Heart Disease</v>
      </c>
      <c r="Q237" t="str">
        <f t="shared" si="20"/>
        <v>Asymptomatic</v>
      </c>
      <c r="R237" t="str">
        <f t="shared" si="21"/>
        <v>Normal</v>
      </c>
      <c r="S237" t="str">
        <f t="shared" si="22"/>
        <v>No</v>
      </c>
      <c r="T237" t="str" cm="1">
        <f t="array" ref="T237">_xlfn.IFS(A236&lt;30,"18-29",A236&lt;40,"30-39",A236&lt;50,"40-49",A236&lt;60,"50-59",A236&gt;=60,"60+")</f>
        <v>40-49</v>
      </c>
      <c r="U237" t="str">
        <f t="shared" si="23"/>
        <v>High (Stage 2)</v>
      </c>
    </row>
    <row r="238" spans="1:21">
      <c r="A238">
        <v>49</v>
      </c>
      <c r="B238">
        <v>1</v>
      </c>
      <c r="C238">
        <v>2</v>
      </c>
      <c r="D238">
        <v>118</v>
      </c>
      <c r="E238">
        <v>149</v>
      </c>
      <c r="F238">
        <v>0</v>
      </c>
      <c r="G238">
        <v>0</v>
      </c>
      <c r="H238">
        <v>126</v>
      </c>
      <c r="I238">
        <v>0</v>
      </c>
      <c r="J238">
        <v>0.8</v>
      </c>
      <c r="K238">
        <v>2</v>
      </c>
      <c r="L238">
        <v>3</v>
      </c>
      <c r="M238">
        <v>2</v>
      </c>
      <c r="N238">
        <v>0</v>
      </c>
      <c r="O238" t="str">
        <f t="shared" si="18"/>
        <v>Male</v>
      </c>
      <c r="P238" t="str">
        <f t="shared" si="19"/>
        <v>No Disease</v>
      </c>
      <c r="Q238" t="str">
        <f t="shared" si="20"/>
        <v>Non-Anginal Pain</v>
      </c>
      <c r="R238" t="str">
        <f t="shared" si="21"/>
        <v>Normal</v>
      </c>
      <c r="S238" t="str">
        <f t="shared" si="22"/>
        <v>No</v>
      </c>
      <c r="T238" t="str" cm="1">
        <f t="array" ref="T238">_xlfn.IFS(A237&lt;30,"18-29",A237&lt;40,"30-39",A237&lt;50,"40-49",A237&lt;60,"50-59",A237&gt;=60,"60+")</f>
        <v>60+</v>
      </c>
      <c r="U238" t="str">
        <f t="shared" si="23"/>
        <v>Normal</v>
      </c>
    </row>
    <row r="239" spans="1:21">
      <c r="A239">
        <v>57</v>
      </c>
      <c r="B239">
        <v>1</v>
      </c>
      <c r="C239">
        <v>1</v>
      </c>
      <c r="D239">
        <v>124</v>
      </c>
      <c r="E239">
        <v>261</v>
      </c>
      <c r="F239">
        <v>0</v>
      </c>
      <c r="G239">
        <v>1</v>
      </c>
      <c r="H239">
        <v>141</v>
      </c>
      <c r="I239">
        <v>0</v>
      </c>
      <c r="J239">
        <v>0.3</v>
      </c>
      <c r="K239">
        <v>2</v>
      </c>
      <c r="L239">
        <v>0</v>
      </c>
      <c r="M239">
        <v>3</v>
      </c>
      <c r="N239">
        <v>0</v>
      </c>
      <c r="O239" t="str">
        <f t="shared" si="18"/>
        <v>Male</v>
      </c>
      <c r="P239" t="str">
        <f t="shared" si="19"/>
        <v>No Disease</v>
      </c>
      <c r="Q239" t="str">
        <f t="shared" si="20"/>
        <v>Atypical Angina</v>
      </c>
      <c r="R239" t="str">
        <f t="shared" si="21"/>
        <v>Normal</v>
      </c>
      <c r="S239" t="str">
        <f t="shared" si="22"/>
        <v>No</v>
      </c>
      <c r="T239" t="str" cm="1">
        <f t="array" ref="T239">_xlfn.IFS(A238&lt;30,"18-29",A238&lt;40,"30-39",A238&lt;50,"40-49",A238&lt;60,"50-59",A238&gt;=60,"60+")</f>
        <v>40-49</v>
      </c>
      <c r="U239" t="str">
        <f t="shared" si="23"/>
        <v>Elevated</v>
      </c>
    </row>
    <row r="240" spans="1:21">
      <c r="A240">
        <v>60</v>
      </c>
      <c r="B240">
        <v>1</v>
      </c>
      <c r="C240">
        <v>0</v>
      </c>
      <c r="D240">
        <v>117</v>
      </c>
      <c r="E240">
        <v>230</v>
      </c>
      <c r="F240">
        <v>1</v>
      </c>
      <c r="G240">
        <v>1</v>
      </c>
      <c r="H240">
        <v>160</v>
      </c>
      <c r="I240">
        <v>1</v>
      </c>
      <c r="J240">
        <v>1.4</v>
      </c>
      <c r="K240">
        <v>2</v>
      </c>
      <c r="L240">
        <v>2</v>
      </c>
      <c r="M240">
        <v>3</v>
      </c>
      <c r="N240">
        <v>0</v>
      </c>
      <c r="O240" t="str">
        <f t="shared" si="18"/>
        <v>Male</v>
      </c>
      <c r="P240" t="str">
        <f t="shared" si="19"/>
        <v>No Disease</v>
      </c>
      <c r="Q240" t="str">
        <f t="shared" si="20"/>
        <v>Typical Angina</v>
      </c>
      <c r="R240" t="str">
        <f t="shared" si="21"/>
        <v>High</v>
      </c>
      <c r="S240" t="str">
        <f t="shared" si="22"/>
        <v>Yes</v>
      </c>
      <c r="T240" t="str" cm="1">
        <f t="array" ref="T240">_xlfn.IFS(A239&lt;30,"18-29",A239&lt;40,"30-39",A239&lt;50,"40-49",A239&lt;60,"50-59",A239&gt;=60,"60+")</f>
        <v>50-59</v>
      </c>
      <c r="U240" t="str">
        <f t="shared" si="23"/>
        <v>Normal</v>
      </c>
    </row>
    <row r="241" spans="1:21">
      <c r="A241">
        <v>62</v>
      </c>
      <c r="B241">
        <v>0</v>
      </c>
      <c r="C241">
        <v>0</v>
      </c>
      <c r="D241">
        <v>150</v>
      </c>
      <c r="E241">
        <v>244</v>
      </c>
      <c r="F241">
        <v>0</v>
      </c>
      <c r="G241">
        <v>1</v>
      </c>
      <c r="H241">
        <v>154</v>
      </c>
      <c r="I241">
        <v>1</v>
      </c>
      <c r="J241">
        <v>1.4</v>
      </c>
      <c r="K241">
        <v>1</v>
      </c>
      <c r="L241">
        <v>0</v>
      </c>
      <c r="M241">
        <v>2</v>
      </c>
      <c r="N241">
        <v>0</v>
      </c>
      <c r="O241" t="str">
        <f t="shared" si="18"/>
        <v>Female</v>
      </c>
      <c r="P241" t="str">
        <f t="shared" si="19"/>
        <v>No Disease</v>
      </c>
      <c r="Q241" t="str">
        <f t="shared" si="20"/>
        <v>Typical Angina</v>
      </c>
      <c r="R241" t="str">
        <f t="shared" si="21"/>
        <v>Normal</v>
      </c>
      <c r="S241" t="str">
        <f t="shared" si="22"/>
        <v>Yes</v>
      </c>
      <c r="T241" t="str" cm="1">
        <f t="array" ref="T241">_xlfn.IFS(A240&lt;30,"18-29",A240&lt;40,"30-39",A240&lt;50,"40-49",A240&lt;60,"50-59",A240&gt;=60,"60+")</f>
        <v>60+</v>
      </c>
      <c r="U241" t="str">
        <f t="shared" si="23"/>
        <v>High (Stage 2)</v>
      </c>
    </row>
    <row r="242" spans="1:21">
      <c r="A242">
        <v>54</v>
      </c>
      <c r="B242">
        <v>0</v>
      </c>
      <c r="C242">
        <v>1</v>
      </c>
      <c r="D242">
        <v>132</v>
      </c>
      <c r="E242">
        <v>288</v>
      </c>
      <c r="F242">
        <v>1</v>
      </c>
      <c r="G242">
        <v>0</v>
      </c>
      <c r="H242">
        <v>159</v>
      </c>
      <c r="I242">
        <v>1</v>
      </c>
      <c r="J242">
        <v>0</v>
      </c>
      <c r="K242">
        <v>2</v>
      </c>
      <c r="L242">
        <v>1</v>
      </c>
      <c r="M242">
        <v>2</v>
      </c>
      <c r="N242">
        <v>1</v>
      </c>
      <c r="O242" t="str">
        <f t="shared" si="18"/>
        <v>Female</v>
      </c>
      <c r="P242" t="str">
        <f t="shared" si="19"/>
        <v>Heart Disease</v>
      </c>
      <c r="Q242" t="str">
        <f t="shared" si="20"/>
        <v>Atypical Angina</v>
      </c>
      <c r="R242" t="str">
        <f t="shared" si="21"/>
        <v>High</v>
      </c>
      <c r="S242" t="str">
        <f t="shared" si="22"/>
        <v>Yes</v>
      </c>
      <c r="T242" t="str" cm="1">
        <f t="array" ref="T242">_xlfn.IFS(A241&lt;30,"18-29",A241&lt;40,"30-39",A241&lt;50,"40-49",A241&lt;60,"50-59",A241&gt;=60,"60+")</f>
        <v>60+</v>
      </c>
      <c r="U242" t="str">
        <f t="shared" si="23"/>
        <v>High (Stage 1)</v>
      </c>
    </row>
    <row r="243" spans="1:21">
      <c r="A243">
        <v>67</v>
      </c>
      <c r="B243">
        <v>1</v>
      </c>
      <c r="C243">
        <v>2</v>
      </c>
      <c r="D243">
        <v>152</v>
      </c>
      <c r="E243">
        <v>212</v>
      </c>
      <c r="F243">
        <v>0</v>
      </c>
      <c r="G243">
        <v>0</v>
      </c>
      <c r="H243">
        <v>150</v>
      </c>
      <c r="I243">
        <v>0</v>
      </c>
      <c r="J243">
        <v>0.8</v>
      </c>
      <c r="K243">
        <v>1</v>
      </c>
      <c r="L243">
        <v>0</v>
      </c>
      <c r="M243">
        <v>3</v>
      </c>
      <c r="N243">
        <v>0</v>
      </c>
      <c r="O243" t="str">
        <f t="shared" si="18"/>
        <v>Male</v>
      </c>
      <c r="P243" t="str">
        <f t="shared" si="19"/>
        <v>No Disease</v>
      </c>
      <c r="Q243" t="str">
        <f t="shared" si="20"/>
        <v>Non-Anginal Pain</v>
      </c>
      <c r="R243" t="str">
        <f t="shared" si="21"/>
        <v>Normal</v>
      </c>
      <c r="S243" t="str">
        <f t="shared" si="22"/>
        <v>No</v>
      </c>
      <c r="T243" t="str" cm="1">
        <f t="array" ref="T243">_xlfn.IFS(A242&lt;30,"18-29",A242&lt;40,"30-39",A242&lt;50,"40-49",A242&lt;60,"50-59",A242&gt;=60,"60+")</f>
        <v>50-59</v>
      </c>
      <c r="U243" t="str">
        <f t="shared" si="23"/>
        <v>High (Stage 2)</v>
      </c>
    </row>
    <row r="244" spans="1:21">
      <c r="A244">
        <v>38</v>
      </c>
      <c r="B244">
        <v>1</v>
      </c>
      <c r="C244">
        <v>2</v>
      </c>
      <c r="D244">
        <v>138</v>
      </c>
      <c r="E244">
        <v>175</v>
      </c>
      <c r="F244">
        <v>0</v>
      </c>
      <c r="G244">
        <v>1</v>
      </c>
      <c r="H244">
        <v>173</v>
      </c>
      <c r="I244">
        <v>0</v>
      </c>
      <c r="J244">
        <v>0</v>
      </c>
      <c r="K244">
        <v>2</v>
      </c>
      <c r="L244">
        <v>4</v>
      </c>
      <c r="M244">
        <v>2</v>
      </c>
      <c r="N244">
        <v>1</v>
      </c>
      <c r="O244" t="str">
        <f t="shared" si="18"/>
        <v>Male</v>
      </c>
      <c r="P244" t="str">
        <f t="shared" si="19"/>
        <v>Heart Disease</v>
      </c>
      <c r="Q244" t="str">
        <f t="shared" si="20"/>
        <v>Non-Anginal Pain</v>
      </c>
      <c r="R244" t="str">
        <f t="shared" si="21"/>
        <v>Normal</v>
      </c>
      <c r="S244" t="str">
        <f t="shared" si="22"/>
        <v>No</v>
      </c>
      <c r="T244" t="str" cm="1">
        <f t="array" ref="T244">_xlfn.IFS(A243&lt;30,"18-29",A243&lt;40,"30-39",A243&lt;50,"40-49",A243&lt;60,"50-59",A243&gt;=60,"60+")</f>
        <v>60+</v>
      </c>
      <c r="U244" t="str">
        <f t="shared" si="23"/>
        <v>High (Stage 1)</v>
      </c>
    </row>
    <row r="245" spans="1:21">
      <c r="A245">
        <v>60</v>
      </c>
      <c r="B245">
        <v>1</v>
      </c>
      <c r="C245">
        <v>2</v>
      </c>
      <c r="D245">
        <v>140</v>
      </c>
      <c r="E245">
        <v>185</v>
      </c>
      <c r="F245">
        <v>0</v>
      </c>
      <c r="G245">
        <v>0</v>
      </c>
      <c r="H245">
        <v>155</v>
      </c>
      <c r="I245">
        <v>0</v>
      </c>
      <c r="J245">
        <v>3</v>
      </c>
      <c r="K245">
        <v>1</v>
      </c>
      <c r="L245">
        <v>0</v>
      </c>
      <c r="M245">
        <v>2</v>
      </c>
      <c r="N245">
        <v>0</v>
      </c>
      <c r="O245" t="str">
        <f t="shared" si="18"/>
        <v>Male</v>
      </c>
      <c r="P245" t="str">
        <f t="shared" si="19"/>
        <v>No Disease</v>
      </c>
      <c r="Q245" t="str">
        <f t="shared" si="20"/>
        <v>Non-Anginal Pain</v>
      </c>
      <c r="R245" t="str">
        <f t="shared" si="21"/>
        <v>Normal</v>
      </c>
      <c r="S245" t="str">
        <f t="shared" si="22"/>
        <v>No</v>
      </c>
      <c r="T245" t="str" cm="1">
        <f t="array" ref="T245">_xlfn.IFS(A244&lt;30,"18-29",A244&lt;40,"30-39",A244&lt;50,"40-49",A244&lt;60,"50-59",A244&gt;=60,"60+")</f>
        <v>30-39</v>
      </c>
      <c r="U245" t="str">
        <f t="shared" si="23"/>
        <v>High (Stage 2)</v>
      </c>
    </row>
    <row r="246" spans="1:21">
      <c r="A246">
        <v>51</v>
      </c>
      <c r="B246">
        <v>1</v>
      </c>
      <c r="C246">
        <v>2</v>
      </c>
      <c r="D246">
        <v>125</v>
      </c>
      <c r="E246">
        <v>245</v>
      </c>
      <c r="F246">
        <v>1</v>
      </c>
      <c r="G246">
        <v>0</v>
      </c>
      <c r="H246">
        <v>166</v>
      </c>
      <c r="I246">
        <v>0</v>
      </c>
      <c r="J246">
        <v>2.4</v>
      </c>
      <c r="K246">
        <v>1</v>
      </c>
      <c r="L246">
        <v>0</v>
      </c>
      <c r="M246">
        <v>2</v>
      </c>
      <c r="N246">
        <v>1</v>
      </c>
      <c r="O246" t="str">
        <f t="shared" si="18"/>
        <v>Male</v>
      </c>
      <c r="P246" t="str">
        <f t="shared" si="19"/>
        <v>Heart Disease</v>
      </c>
      <c r="Q246" t="str">
        <f t="shared" si="20"/>
        <v>Non-Anginal Pain</v>
      </c>
      <c r="R246" t="str">
        <f t="shared" si="21"/>
        <v>High</v>
      </c>
      <c r="S246" t="str">
        <f t="shared" si="22"/>
        <v>No</v>
      </c>
      <c r="T246" t="str" cm="1">
        <f t="array" ref="T246">_xlfn.IFS(A245&lt;30,"18-29",A245&lt;40,"30-39",A245&lt;50,"40-49",A245&lt;60,"50-59",A245&gt;=60,"60+")</f>
        <v>60+</v>
      </c>
      <c r="U246" t="str">
        <f t="shared" si="23"/>
        <v>Elevated</v>
      </c>
    </row>
    <row r="247" spans="1:21">
      <c r="A247">
        <v>44</v>
      </c>
      <c r="B247">
        <v>1</v>
      </c>
      <c r="C247">
        <v>1</v>
      </c>
      <c r="D247">
        <v>130</v>
      </c>
      <c r="E247">
        <v>219</v>
      </c>
      <c r="F247">
        <v>0</v>
      </c>
      <c r="G247">
        <v>0</v>
      </c>
      <c r="H247">
        <v>188</v>
      </c>
      <c r="I247">
        <v>0</v>
      </c>
      <c r="J247">
        <v>0</v>
      </c>
      <c r="K247">
        <v>2</v>
      </c>
      <c r="L247">
        <v>0</v>
      </c>
      <c r="M247">
        <v>2</v>
      </c>
      <c r="N247">
        <v>1</v>
      </c>
      <c r="O247" t="str">
        <f t="shared" si="18"/>
        <v>Male</v>
      </c>
      <c r="P247" t="str">
        <f t="shared" si="19"/>
        <v>Heart Disease</v>
      </c>
      <c r="Q247" t="str">
        <f t="shared" si="20"/>
        <v>Atypical Angina</v>
      </c>
      <c r="R247" t="str">
        <f t="shared" si="21"/>
        <v>Normal</v>
      </c>
      <c r="S247" t="str">
        <f t="shared" si="22"/>
        <v>No</v>
      </c>
      <c r="T247" t="str" cm="1">
        <f t="array" ref="T247">_xlfn.IFS(A246&lt;30,"18-29",A246&lt;40,"30-39",A246&lt;50,"40-49",A246&lt;60,"50-59",A246&gt;=60,"60+")</f>
        <v>50-59</v>
      </c>
      <c r="U247" t="str">
        <f t="shared" si="23"/>
        <v>High (Stage 1)</v>
      </c>
    </row>
    <row r="248" spans="1:21">
      <c r="A248">
        <v>54</v>
      </c>
      <c r="B248">
        <v>1</v>
      </c>
      <c r="C248">
        <v>1</v>
      </c>
      <c r="D248">
        <v>192</v>
      </c>
      <c r="E248">
        <v>283</v>
      </c>
      <c r="F248">
        <v>0</v>
      </c>
      <c r="G248">
        <v>0</v>
      </c>
      <c r="H248">
        <v>195</v>
      </c>
      <c r="I248">
        <v>0</v>
      </c>
      <c r="J248">
        <v>0</v>
      </c>
      <c r="K248">
        <v>2</v>
      </c>
      <c r="L248">
        <v>1</v>
      </c>
      <c r="M248">
        <v>3</v>
      </c>
      <c r="N248">
        <v>0</v>
      </c>
      <c r="O248" t="str">
        <f t="shared" si="18"/>
        <v>Male</v>
      </c>
      <c r="P248" t="str">
        <f t="shared" si="19"/>
        <v>No Disease</v>
      </c>
      <c r="Q248" t="str">
        <f t="shared" si="20"/>
        <v>Atypical Angina</v>
      </c>
      <c r="R248" t="str">
        <f t="shared" si="21"/>
        <v>Normal</v>
      </c>
      <c r="S248" t="str">
        <f t="shared" si="22"/>
        <v>No</v>
      </c>
      <c r="T248" t="str" cm="1">
        <f t="array" ref="T248">_xlfn.IFS(A247&lt;30,"18-29",A247&lt;40,"30-39",A247&lt;50,"40-49",A247&lt;60,"50-59",A247&gt;=60,"60+")</f>
        <v>40-49</v>
      </c>
      <c r="U248" t="str">
        <f t="shared" si="23"/>
        <v>High (Stage 2)</v>
      </c>
    </row>
    <row r="249" spans="1:21">
      <c r="A249">
        <v>46</v>
      </c>
      <c r="B249">
        <v>1</v>
      </c>
      <c r="C249">
        <v>0</v>
      </c>
      <c r="D249">
        <v>140</v>
      </c>
      <c r="E249">
        <v>311</v>
      </c>
      <c r="F249">
        <v>0</v>
      </c>
      <c r="G249">
        <v>1</v>
      </c>
      <c r="H249">
        <v>120</v>
      </c>
      <c r="I249">
        <v>1</v>
      </c>
      <c r="J249">
        <v>1.8</v>
      </c>
      <c r="K249">
        <v>1</v>
      </c>
      <c r="L249">
        <v>2</v>
      </c>
      <c r="M249">
        <v>3</v>
      </c>
      <c r="N249">
        <v>0</v>
      </c>
      <c r="O249" t="str">
        <f t="shared" si="18"/>
        <v>Male</v>
      </c>
      <c r="P249" t="str">
        <f t="shared" si="19"/>
        <v>No Disease</v>
      </c>
      <c r="Q249" t="str">
        <f t="shared" si="20"/>
        <v>Typical Angina</v>
      </c>
      <c r="R249" t="str">
        <f t="shared" si="21"/>
        <v>Normal</v>
      </c>
      <c r="S249" t="str">
        <f t="shared" si="22"/>
        <v>Yes</v>
      </c>
      <c r="T249" t="str" cm="1">
        <f t="array" ref="T249">_xlfn.IFS(A248&lt;30,"18-29",A248&lt;40,"30-39",A248&lt;50,"40-49",A248&lt;60,"50-59",A248&gt;=60,"60+")</f>
        <v>50-59</v>
      </c>
      <c r="U249" t="str">
        <f t="shared" si="23"/>
        <v>High (Stage 2)</v>
      </c>
    </row>
    <row r="250" spans="1:21">
      <c r="A250">
        <v>39</v>
      </c>
      <c r="B250">
        <v>0</v>
      </c>
      <c r="C250">
        <v>2</v>
      </c>
      <c r="D250">
        <v>138</v>
      </c>
      <c r="E250">
        <v>220</v>
      </c>
      <c r="F250">
        <v>0</v>
      </c>
      <c r="G250">
        <v>1</v>
      </c>
      <c r="H250">
        <v>152</v>
      </c>
      <c r="I250">
        <v>0</v>
      </c>
      <c r="J250">
        <v>0</v>
      </c>
      <c r="K250">
        <v>1</v>
      </c>
      <c r="L250">
        <v>0</v>
      </c>
      <c r="M250">
        <v>2</v>
      </c>
      <c r="N250">
        <v>1</v>
      </c>
      <c r="O250" t="str">
        <f t="shared" si="18"/>
        <v>Female</v>
      </c>
      <c r="P250" t="str">
        <f t="shared" si="19"/>
        <v>Heart Disease</v>
      </c>
      <c r="Q250" t="str">
        <f t="shared" si="20"/>
        <v>Non-Anginal Pain</v>
      </c>
      <c r="R250" t="str">
        <f t="shared" si="21"/>
        <v>Normal</v>
      </c>
      <c r="S250" t="str">
        <f t="shared" si="22"/>
        <v>No</v>
      </c>
      <c r="T250" t="str" cm="1">
        <f t="array" ref="T250">_xlfn.IFS(A249&lt;30,"18-29",A249&lt;40,"30-39",A249&lt;50,"40-49",A249&lt;60,"50-59",A249&gt;=60,"60+")</f>
        <v>40-49</v>
      </c>
      <c r="U250" t="str">
        <f t="shared" si="23"/>
        <v>High (Stage 1)</v>
      </c>
    </row>
    <row r="251" spans="1:21">
      <c r="A251">
        <v>42</v>
      </c>
      <c r="B251">
        <v>1</v>
      </c>
      <c r="C251">
        <v>2</v>
      </c>
      <c r="D251">
        <v>130</v>
      </c>
      <c r="E251">
        <v>180</v>
      </c>
      <c r="F251">
        <v>0</v>
      </c>
      <c r="G251">
        <v>1</v>
      </c>
      <c r="H251">
        <v>150</v>
      </c>
      <c r="I251">
        <v>0</v>
      </c>
      <c r="J251">
        <v>0</v>
      </c>
      <c r="K251">
        <v>2</v>
      </c>
      <c r="L251">
        <v>0</v>
      </c>
      <c r="M251">
        <v>2</v>
      </c>
      <c r="N251">
        <v>1</v>
      </c>
      <c r="O251" t="str">
        <f t="shared" si="18"/>
        <v>Male</v>
      </c>
      <c r="P251" t="str">
        <f t="shared" si="19"/>
        <v>Heart Disease</v>
      </c>
      <c r="Q251" t="str">
        <f t="shared" si="20"/>
        <v>Non-Anginal Pain</v>
      </c>
      <c r="R251" t="str">
        <f t="shared" si="21"/>
        <v>Normal</v>
      </c>
      <c r="S251" t="str">
        <f t="shared" si="22"/>
        <v>No</v>
      </c>
      <c r="T251" t="str" cm="1">
        <f t="array" ref="T251">_xlfn.IFS(A250&lt;30,"18-29",A250&lt;40,"30-39",A250&lt;50,"40-49",A250&lt;60,"50-59",A250&gt;=60,"60+")</f>
        <v>30-39</v>
      </c>
      <c r="U251" t="str">
        <f t="shared" si="23"/>
        <v>High (Stage 1)</v>
      </c>
    </row>
    <row r="252" spans="1:21">
      <c r="A252">
        <v>47</v>
      </c>
      <c r="B252">
        <v>1</v>
      </c>
      <c r="C252">
        <v>0</v>
      </c>
      <c r="D252">
        <v>110</v>
      </c>
      <c r="E252">
        <v>275</v>
      </c>
      <c r="F252">
        <v>0</v>
      </c>
      <c r="G252">
        <v>0</v>
      </c>
      <c r="H252">
        <v>118</v>
      </c>
      <c r="I252">
        <v>1</v>
      </c>
      <c r="J252">
        <v>1</v>
      </c>
      <c r="K252">
        <v>1</v>
      </c>
      <c r="L252">
        <v>1</v>
      </c>
      <c r="M252">
        <v>2</v>
      </c>
      <c r="N252">
        <v>0</v>
      </c>
      <c r="O252" t="str">
        <f t="shared" si="18"/>
        <v>Male</v>
      </c>
      <c r="P252" t="str">
        <f t="shared" si="19"/>
        <v>No Disease</v>
      </c>
      <c r="Q252" t="str">
        <f t="shared" si="20"/>
        <v>Typical Angina</v>
      </c>
      <c r="R252" t="str">
        <f t="shared" si="21"/>
        <v>Normal</v>
      </c>
      <c r="S252" t="str">
        <f t="shared" si="22"/>
        <v>Yes</v>
      </c>
      <c r="T252" t="str" cm="1">
        <f t="array" ref="T252">_xlfn.IFS(A251&lt;30,"18-29",A251&lt;40,"30-39",A251&lt;50,"40-49",A251&lt;60,"50-59",A251&gt;=60,"60+")</f>
        <v>40-49</v>
      </c>
      <c r="U252" t="str">
        <f t="shared" si="23"/>
        <v>Normal</v>
      </c>
    </row>
    <row r="253" spans="1:21">
      <c r="A253">
        <v>45</v>
      </c>
      <c r="B253">
        <v>0</v>
      </c>
      <c r="C253">
        <v>1</v>
      </c>
      <c r="D253">
        <v>112</v>
      </c>
      <c r="E253">
        <v>160</v>
      </c>
      <c r="F253">
        <v>0</v>
      </c>
      <c r="G253">
        <v>1</v>
      </c>
      <c r="H253">
        <v>138</v>
      </c>
      <c r="I253">
        <v>0</v>
      </c>
      <c r="J253">
        <v>0</v>
      </c>
      <c r="K253">
        <v>1</v>
      </c>
      <c r="L253">
        <v>0</v>
      </c>
      <c r="M253">
        <v>2</v>
      </c>
      <c r="N253">
        <v>1</v>
      </c>
      <c r="O253" t="str">
        <f t="shared" si="18"/>
        <v>Female</v>
      </c>
      <c r="P253" t="str">
        <f t="shared" si="19"/>
        <v>Heart Disease</v>
      </c>
      <c r="Q253" t="str">
        <f t="shared" si="20"/>
        <v>Atypical Angina</v>
      </c>
      <c r="R253" t="str">
        <f t="shared" si="21"/>
        <v>Normal</v>
      </c>
      <c r="S253" t="str">
        <f t="shared" si="22"/>
        <v>No</v>
      </c>
      <c r="T253" t="str" cm="1">
        <f t="array" ref="T253">_xlfn.IFS(A252&lt;30,"18-29",A252&lt;40,"30-39",A252&lt;50,"40-49",A252&lt;60,"50-59",A252&gt;=60,"60+")</f>
        <v>40-49</v>
      </c>
      <c r="U253" t="str">
        <f t="shared" si="23"/>
        <v>Normal</v>
      </c>
    </row>
    <row r="254" spans="1:21">
      <c r="A254">
        <v>55</v>
      </c>
      <c r="B254">
        <v>1</v>
      </c>
      <c r="C254">
        <v>0</v>
      </c>
      <c r="D254">
        <v>132</v>
      </c>
      <c r="E254">
        <v>353</v>
      </c>
      <c r="F254">
        <v>0</v>
      </c>
      <c r="G254">
        <v>1</v>
      </c>
      <c r="H254">
        <v>132</v>
      </c>
      <c r="I254">
        <v>1</v>
      </c>
      <c r="J254">
        <v>1.2</v>
      </c>
      <c r="K254">
        <v>1</v>
      </c>
      <c r="L254">
        <v>1</v>
      </c>
      <c r="M254">
        <v>3</v>
      </c>
      <c r="N254">
        <v>0</v>
      </c>
      <c r="O254" t="str">
        <f t="shared" si="18"/>
        <v>Male</v>
      </c>
      <c r="P254" t="str">
        <f t="shared" si="19"/>
        <v>No Disease</v>
      </c>
      <c r="Q254" t="str">
        <f t="shared" si="20"/>
        <v>Typical Angina</v>
      </c>
      <c r="R254" t="str">
        <f t="shared" si="21"/>
        <v>Normal</v>
      </c>
      <c r="S254" t="str">
        <f t="shared" si="22"/>
        <v>Yes</v>
      </c>
      <c r="T254" t="str" cm="1">
        <f t="array" ref="T254">_xlfn.IFS(A253&lt;30,"18-29",A253&lt;40,"30-39",A253&lt;50,"40-49",A253&lt;60,"50-59",A253&gt;=60,"60+")</f>
        <v>40-49</v>
      </c>
      <c r="U254" t="str">
        <f t="shared" si="23"/>
        <v>High (Stage 1)</v>
      </c>
    </row>
    <row r="255" spans="1:21">
      <c r="A255">
        <v>57</v>
      </c>
      <c r="B255">
        <v>1</v>
      </c>
      <c r="C255">
        <v>0</v>
      </c>
      <c r="D255">
        <v>165</v>
      </c>
      <c r="E255">
        <v>289</v>
      </c>
      <c r="F255">
        <v>1</v>
      </c>
      <c r="G255">
        <v>0</v>
      </c>
      <c r="H255">
        <v>124</v>
      </c>
      <c r="I255">
        <v>0</v>
      </c>
      <c r="J255">
        <v>1</v>
      </c>
      <c r="K255">
        <v>1</v>
      </c>
      <c r="L255">
        <v>3</v>
      </c>
      <c r="M255">
        <v>3</v>
      </c>
      <c r="N255">
        <v>0</v>
      </c>
      <c r="O255" t="str">
        <f t="shared" si="18"/>
        <v>Male</v>
      </c>
      <c r="P255" t="str">
        <f t="shared" si="19"/>
        <v>No Disease</v>
      </c>
      <c r="Q255" t="str">
        <f t="shared" si="20"/>
        <v>Typical Angina</v>
      </c>
      <c r="R255" t="str">
        <f t="shared" si="21"/>
        <v>High</v>
      </c>
      <c r="S255" t="str">
        <f t="shared" si="22"/>
        <v>No</v>
      </c>
      <c r="T255" t="str" cm="1">
        <f t="array" ref="T255">_xlfn.IFS(A254&lt;30,"18-29",A254&lt;40,"30-39",A254&lt;50,"40-49",A254&lt;60,"50-59",A254&gt;=60,"60+")</f>
        <v>50-59</v>
      </c>
      <c r="U255" t="str">
        <f t="shared" si="23"/>
        <v>High (Stage 2)</v>
      </c>
    </row>
    <row r="256" spans="1:21">
      <c r="A256">
        <v>35</v>
      </c>
      <c r="B256">
        <v>1</v>
      </c>
      <c r="C256">
        <v>0</v>
      </c>
      <c r="D256">
        <v>120</v>
      </c>
      <c r="E256">
        <v>198</v>
      </c>
      <c r="F256">
        <v>0</v>
      </c>
      <c r="G256">
        <v>1</v>
      </c>
      <c r="H256">
        <v>130</v>
      </c>
      <c r="I256">
        <v>1</v>
      </c>
      <c r="J256">
        <v>1.6</v>
      </c>
      <c r="K256">
        <v>1</v>
      </c>
      <c r="L256">
        <v>0</v>
      </c>
      <c r="M256">
        <v>3</v>
      </c>
      <c r="N256">
        <v>0</v>
      </c>
      <c r="O256" t="str">
        <f t="shared" si="18"/>
        <v>Male</v>
      </c>
      <c r="P256" t="str">
        <f t="shared" si="19"/>
        <v>No Disease</v>
      </c>
      <c r="Q256" t="str">
        <f t="shared" si="20"/>
        <v>Typical Angina</v>
      </c>
      <c r="R256" t="str">
        <f t="shared" si="21"/>
        <v>Normal</v>
      </c>
      <c r="S256" t="str">
        <f t="shared" si="22"/>
        <v>Yes</v>
      </c>
      <c r="T256" t="str" cm="1">
        <f t="array" ref="T256">_xlfn.IFS(A255&lt;30,"18-29",A255&lt;40,"30-39",A255&lt;50,"40-49",A255&lt;60,"50-59",A255&gt;=60,"60+")</f>
        <v>50-59</v>
      </c>
      <c r="U256" t="str">
        <f t="shared" si="23"/>
        <v>Elevated</v>
      </c>
    </row>
    <row r="257" spans="1:21">
      <c r="A257">
        <v>62</v>
      </c>
      <c r="B257">
        <v>0</v>
      </c>
      <c r="C257">
        <v>0</v>
      </c>
      <c r="D257">
        <v>140</v>
      </c>
      <c r="E257">
        <v>394</v>
      </c>
      <c r="F257">
        <v>0</v>
      </c>
      <c r="G257">
        <v>0</v>
      </c>
      <c r="H257">
        <v>157</v>
      </c>
      <c r="I257">
        <v>0</v>
      </c>
      <c r="J257">
        <v>1.2</v>
      </c>
      <c r="K257">
        <v>1</v>
      </c>
      <c r="L257">
        <v>0</v>
      </c>
      <c r="M257">
        <v>2</v>
      </c>
      <c r="N257">
        <v>1</v>
      </c>
      <c r="O257" t="str">
        <f t="shared" si="18"/>
        <v>Female</v>
      </c>
      <c r="P257" t="str">
        <f t="shared" si="19"/>
        <v>Heart Disease</v>
      </c>
      <c r="Q257" t="str">
        <f t="shared" si="20"/>
        <v>Typical Angina</v>
      </c>
      <c r="R257" t="str">
        <f t="shared" si="21"/>
        <v>Normal</v>
      </c>
      <c r="S257" t="str">
        <f t="shared" si="22"/>
        <v>No</v>
      </c>
      <c r="T257" t="str" cm="1">
        <f t="array" ref="T257">_xlfn.IFS(A256&lt;30,"18-29",A256&lt;40,"30-39",A256&lt;50,"40-49",A256&lt;60,"50-59",A256&gt;=60,"60+")</f>
        <v>30-39</v>
      </c>
      <c r="U257" t="str">
        <f t="shared" si="23"/>
        <v>High (Stage 2)</v>
      </c>
    </row>
    <row r="258" spans="1:21">
      <c r="A258">
        <v>35</v>
      </c>
      <c r="B258">
        <v>0</v>
      </c>
      <c r="C258">
        <v>0</v>
      </c>
      <c r="D258">
        <v>138</v>
      </c>
      <c r="E258">
        <v>183</v>
      </c>
      <c r="F258">
        <v>0</v>
      </c>
      <c r="G258">
        <v>1</v>
      </c>
      <c r="H258">
        <v>182</v>
      </c>
      <c r="I258">
        <v>0</v>
      </c>
      <c r="J258">
        <v>1.4</v>
      </c>
      <c r="K258">
        <v>2</v>
      </c>
      <c r="L258">
        <v>0</v>
      </c>
      <c r="M258">
        <v>2</v>
      </c>
      <c r="N258">
        <v>1</v>
      </c>
      <c r="O258" t="str">
        <f t="shared" ref="O258:O321" si="24">IF(B258=1,"Male","Female")</f>
        <v>Female</v>
      </c>
      <c r="P258" t="str">
        <f t="shared" ref="P258:P321" si="25">IF(N258=1,"Heart Disease","No Disease")</f>
        <v>Heart Disease</v>
      </c>
      <c r="Q258" t="str">
        <f t="shared" ref="Q258:Q321" si="26">IF(C258=0,"Typical Angina",IF(C258=1,"Atypical Angina",IF(C258=2,"Non-Anginal Pain","Asymptomatic")))</f>
        <v>Typical Angina</v>
      </c>
      <c r="R258" t="str">
        <f t="shared" ref="R258:R321" si="27">IF(F258=1,"High","Normal")</f>
        <v>Normal</v>
      </c>
      <c r="S258" t="str">
        <f t="shared" ref="S258:S321" si="28">IF(I258=1,"Yes","No")</f>
        <v>No</v>
      </c>
      <c r="T258" t="str" cm="1">
        <f t="array" ref="T258">_xlfn.IFS(A257&lt;30,"18-29",A257&lt;40,"30-39",A257&lt;50,"40-49",A257&lt;60,"50-59",A257&gt;=60,"60+")</f>
        <v>60+</v>
      </c>
      <c r="U258" t="str">
        <f t="shared" ref="U258:U321" si="29">IF(D258&lt;120,"Normal",IF(D258&lt;130,"Elevated",IF(D258&lt;140,"High (Stage 1)","High (Stage 2)")))</f>
        <v>High (Stage 1)</v>
      </c>
    </row>
    <row r="259" spans="1:21">
      <c r="A259">
        <v>64</v>
      </c>
      <c r="B259">
        <v>0</v>
      </c>
      <c r="C259">
        <v>0</v>
      </c>
      <c r="D259">
        <v>180</v>
      </c>
      <c r="E259">
        <v>325</v>
      </c>
      <c r="F259">
        <v>0</v>
      </c>
      <c r="G259">
        <v>1</v>
      </c>
      <c r="H259">
        <v>154</v>
      </c>
      <c r="I259">
        <v>1</v>
      </c>
      <c r="J259">
        <v>0</v>
      </c>
      <c r="K259">
        <v>2</v>
      </c>
      <c r="L259">
        <v>0</v>
      </c>
      <c r="M259">
        <v>2</v>
      </c>
      <c r="N259">
        <v>1</v>
      </c>
      <c r="O259" t="str">
        <f t="shared" si="24"/>
        <v>Female</v>
      </c>
      <c r="P259" t="str">
        <f t="shared" si="25"/>
        <v>Heart Disease</v>
      </c>
      <c r="Q259" t="str">
        <f t="shared" si="26"/>
        <v>Typical Angina</v>
      </c>
      <c r="R259" t="str">
        <f t="shared" si="27"/>
        <v>Normal</v>
      </c>
      <c r="S259" t="str">
        <f t="shared" si="28"/>
        <v>Yes</v>
      </c>
      <c r="T259" t="str" cm="1">
        <f t="array" ref="T259">_xlfn.IFS(A258&lt;30,"18-29",A258&lt;40,"30-39",A258&lt;50,"40-49",A258&lt;60,"50-59",A258&gt;=60,"60+")</f>
        <v>30-39</v>
      </c>
      <c r="U259" t="str">
        <f t="shared" si="29"/>
        <v>High (Stage 2)</v>
      </c>
    </row>
    <row r="260" spans="1:21">
      <c r="A260">
        <v>38</v>
      </c>
      <c r="B260">
        <v>1</v>
      </c>
      <c r="C260">
        <v>3</v>
      </c>
      <c r="D260">
        <v>120</v>
      </c>
      <c r="E260">
        <v>231</v>
      </c>
      <c r="F260">
        <v>0</v>
      </c>
      <c r="G260">
        <v>1</v>
      </c>
      <c r="H260">
        <v>182</v>
      </c>
      <c r="I260">
        <v>1</v>
      </c>
      <c r="J260">
        <v>3.8</v>
      </c>
      <c r="K260">
        <v>1</v>
      </c>
      <c r="L260">
        <v>0</v>
      </c>
      <c r="M260">
        <v>3</v>
      </c>
      <c r="N260">
        <v>0</v>
      </c>
      <c r="O260" t="str">
        <f t="shared" si="24"/>
        <v>Male</v>
      </c>
      <c r="P260" t="str">
        <f t="shared" si="25"/>
        <v>No Disease</v>
      </c>
      <c r="Q260" t="str">
        <f t="shared" si="26"/>
        <v>Asymptomatic</v>
      </c>
      <c r="R260" t="str">
        <f t="shared" si="27"/>
        <v>Normal</v>
      </c>
      <c r="S260" t="str">
        <f t="shared" si="28"/>
        <v>Yes</v>
      </c>
      <c r="T260" t="str" cm="1">
        <f t="array" ref="T260">_xlfn.IFS(A259&lt;30,"18-29",A259&lt;40,"30-39",A259&lt;50,"40-49",A259&lt;60,"50-59",A259&gt;=60,"60+")</f>
        <v>60+</v>
      </c>
      <c r="U260" t="str">
        <f t="shared" si="29"/>
        <v>Elevated</v>
      </c>
    </row>
    <row r="261" spans="1:21">
      <c r="A261">
        <v>66</v>
      </c>
      <c r="B261">
        <v>1</v>
      </c>
      <c r="C261">
        <v>0</v>
      </c>
      <c r="D261">
        <v>120</v>
      </c>
      <c r="E261">
        <v>302</v>
      </c>
      <c r="F261">
        <v>0</v>
      </c>
      <c r="G261">
        <v>0</v>
      </c>
      <c r="H261">
        <v>151</v>
      </c>
      <c r="I261">
        <v>0</v>
      </c>
      <c r="J261">
        <v>0.4</v>
      </c>
      <c r="K261">
        <v>1</v>
      </c>
      <c r="L261">
        <v>0</v>
      </c>
      <c r="M261">
        <v>2</v>
      </c>
      <c r="N261">
        <v>1</v>
      </c>
      <c r="O261" t="str">
        <f t="shared" si="24"/>
        <v>Male</v>
      </c>
      <c r="P261" t="str">
        <f t="shared" si="25"/>
        <v>Heart Disease</v>
      </c>
      <c r="Q261" t="str">
        <f t="shared" si="26"/>
        <v>Typical Angina</v>
      </c>
      <c r="R261" t="str">
        <f t="shared" si="27"/>
        <v>Normal</v>
      </c>
      <c r="S261" t="str">
        <f t="shared" si="28"/>
        <v>No</v>
      </c>
      <c r="T261" t="str" cm="1">
        <f t="array" ref="T261">_xlfn.IFS(A260&lt;30,"18-29",A260&lt;40,"30-39",A260&lt;50,"40-49",A260&lt;60,"50-59",A260&gt;=60,"60+")</f>
        <v>30-39</v>
      </c>
      <c r="U261" t="str">
        <f t="shared" si="29"/>
        <v>Elevated</v>
      </c>
    </row>
    <row r="262" spans="1:21">
      <c r="A262">
        <v>44</v>
      </c>
      <c r="B262">
        <v>1</v>
      </c>
      <c r="C262">
        <v>2</v>
      </c>
      <c r="D262">
        <v>120</v>
      </c>
      <c r="E262">
        <v>226</v>
      </c>
      <c r="F262">
        <v>0</v>
      </c>
      <c r="G262">
        <v>1</v>
      </c>
      <c r="H262">
        <v>169</v>
      </c>
      <c r="I262">
        <v>0</v>
      </c>
      <c r="J262">
        <v>0</v>
      </c>
      <c r="K262">
        <v>2</v>
      </c>
      <c r="L262">
        <v>0</v>
      </c>
      <c r="M262">
        <v>2</v>
      </c>
      <c r="N262">
        <v>1</v>
      </c>
      <c r="O262" t="str">
        <f t="shared" si="24"/>
        <v>Male</v>
      </c>
      <c r="P262" t="str">
        <f t="shared" si="25"/>
        <v>Heart Disease</v>
      </c>
      <c r="Q262" t="str">
        <f t="shared" si="26"/>
        <v>Non-Anginal Pain</v>
      </c>
      <c r="R262" t="str">
        <f t="shared" si="27"/>
        <v>Normal</v>
      </c>
      <c r="S262" t="str">
        <f t="shared" si="28"/>
        <v>No</v>
      </c>
      <c r="T262" t="str" cm="1">
        <f t="array" ref="T262">_xlfn.IFS(A261&lt;30,"18-29",A261&lt;40,"30-39",A261&lt;50,"40-49",A261&lt;60,"50-59",A261&gt;=60,"60+")</f>
        <v>60+</v>
      </c>
      <c r="U262" t="str">
        <f t="shared" si="29"/>
        <v>Elevated</v>
      </c>
    </row>
    <row r="263" spans="1:21">
      <c r="A263">
        <v>54</v>
      </c>
      <c r="B263">
        <v>1</v>
      </c>
      <c r="C263">
        <v>2</v>
      </c>
      <c r="D263">
        <v>150</v>
      </c>
      <c r="E263">
        <v>232</v>
      </c>
      <c r="F263">
        <v>0</v>
      </c>
      <c r="G263">
        <v>0</v>
      </c>
      <c r="H263">
        <v>165</v>
      </c>
      <c r="I263">
        <v>0</v>
      </c>
      <c r="J263">
        <v>1.6</v>
      </c>
      <c r="K263">
        <v>2</v>
      </c>
      <c r="L263">
        <v>0</v>
      </c>
      <c r="M263">
        <v>3</v>
      </c>
      <c r="N263">
        <v>1</v>
      </c>
      <c r="O263" t="str">
        <f t="shared" si="24"/>
        <v>Male</v>
      </c>
      <c r="P263" t="str">
        <f t="shared" si="25"/>
        <v>Heart Disease</v>
      </c>
      <c r="Q263" t="str">
        <f t="shared" si="26"/>
        <v>Non-Anginal Pain</v>
      </c>
      <c r="R263" t="str">
        <f t="shared" si="27"/>
        <v>Normal</v>
      </c>
      <c r="S263" t="str">
        <f t="shared" si="28"/>
        <v>No</v>
      </c>
      <c r="T263" t="str" cm="1">
        <f t="array" ref="T263">_xlfn.IFS(A262&lt;30,"18-29",A262&lt;40,"30-39",A262&lt;50,"40-49",A262&lt;60,"50-59",A262&gt;=60,"60+")</f>
        <v>40-49</v>
      </c>
      <c r="U263" t="str">
        <f t="shared" si="29"/>
        <v>High (Stage 2)</v>
      </c>
    </row>
    <row r="264" spans="1:21">
      <c r="A264">
        <v>48</v>
      </c>
      <c r="B264">
        <v>1</v>
      </c>
      <c r="C264">
        <v>0</v>
      </c>
      <c r="D264">
        <v>122</v>
      </c>
      <c r="E264">
        <v>222</v>
      </c>
      <c r="F264">
        <v>0</v>
      </c>
      <c r="G264">
        <v>0</v>
      </c>
      <c r="H264">
        <v>186</v>
      </c>
      <c r="I264">
        <v>0</v>
      </c>
      <c r="J264">
        <v>0</v>
      </c>
      <c r="K264">
        <v>2</v>
      </c>
      <c r="L264">
        <v>0</v>
      </c>
      <c r="M264">
        <v>2</v>
      </c>
      <c r="N264">
        <v>1</v>
      </c>
      <c r="O264" t="str">
        <f t="shared" si="24"/>
        <v>Male</v>
      </c>
      <c r="P264" t="str">
        <f t="shared" si="25"/>
        <v>Heart Disease</v>
      </c>
      <c r="Q264" t="str">
        <f t="shared" si="26"/>
        <v>Typical Angina</v>
      </c>
      <c r="R264" t="str">
        <f t="shared" si="27"/>
        <v>Normal</v>
      </c>
      <c r="S264" t="str">
        <f t="shared" si="28"/>
        <v>No</v>
      </c>
      <c r="T264" t="str" cm="1">
        <f t="array" ref="T264">_xlfn.IFS(A263&lt;30,"18-29",A263&lt;40,"30-39",A263&lt;50,"40-49",A263&lt;60,"50-59",A263&gt;=60,"60+")</f>
        <v>50-59</v>
      </c>
      <c r="U264" t="str">
        <f t="shared" si="29"/>
        <v>Elevated</v>
      </c>
    </row>
    <row r="265" spans="1:21">
      <c r="A265">
        <v>55</v>
      </c>
      <c r="B265">
        <v>0</v>
      </c>
      <c r="C265">
        <v>1</v>
      </c>
      <c r="D265">
        <v>132</v>
      </c>
      <c r="E265">
        <v>342</v>
      </c>
      <c r="F265">
        <v>0</v>
      </c>
      <c r="G265">
        <v>1</v>
      </c>
      <c r="H265">
        <v>166</v>
      </c>
      <c r="I265">
        <v>0</v>
      </c>
      <c r="J265">
        <v>1.2</v>
      </c>
      <c r="K265">
        <v>2</v>
      </c>
      <c r="L265">
        <v>0</v>
      </c>
      <c r="M265">
        <v>2</v>
      </c>
      <c r="N265">
        <v>1</v>
      </c>
      <c r="O265" t="str">
        <f t="shared" si="24"/>
        <v>Female</v>
      </c>
      <c r="P265" t="str">
        <f t="shared" si="25"/>
        <v>Heart Disease</v>
      </c>
      <c r="Q265" t="str">
        <f t="shared" si="26"/>
        <v>Atypical Angina</v>
      </c>
      <c r="R265" t="str">
        <f t="shared" si="27"/>
        <v>Normal</v>
      </c>
      <c r="S265" t="str">
        <f t="shared" si="28"/>
        <v>No</v>
      </c>
      <c r="T265" t="str" cm="1">
        <f t="array" ref="T265">_xlfn.IFS(A264&lt;30,"18-29",A264&lt;40,"30-39",A264&lt;50,"40-49",A264&lt;60,"50-59",A264&gt;=60,"60+")</f>
        <v>40-49</v>
      </c>
      <c r="U265" t="str">
        <f t="shared" si="29"/>
        <v>High (Stage 1)</v>
      </c>
    </row>
    <row r="266" spans="1:21">
      <c r="A266">
        <v>58</v>
      </c>
      <c r="B266">
        <v>0</v>
      </c>
      <c r="C266">
        <v>0</v>
      </c>
      <c r="D266">
        <v>170</v>
      </c>
      <c r="E266">
        <v>225</v>
      </c>
      <c r="F266">
        <v>1</v>
      </c>
      <c r="G266">
        <v>0</v>
      </c>
      <c r="H266">
        <v>146</v>
      </c>
      <c r="I266">
        <v>1</v>
      </c>
      <c r="J266">
        <v>2.8</v>
      </c>
      <c r="K266">
        <v>1</v>
      </c>
      <c r="L266">
        <v>2</v>
      </c>
      <c r="M266">
        <v>1</v>
      </c>
      <c r="N266">
        <v>0</v>
      </c>
      <c r="O266" t="str">
        <f t="shared" si="24"/>
        <v>Female</v>
      </c>
      <c r="P266" t="str">
        <f t="shared" si="25"/>
        <v>No Disease</v>
      </c>
      <c r="Q266" t="str">
        <f t="shared" si="26"/>
        <v>Typical Angina</v>
      </c>
      <c r="R266" t="str">
        <f t="shared" si="27"/>
        <v>High</v>
      </c>
      <c r="S266" t="str">
        <f t="shared" si="28"/>
        <v>Yes</v>
      </c>
      <c r="T266" t="str" cm="1">
        <f t="array" ref="T266">_xlfn.IFS(A265&lt;30,"18-29",A265&lt;40,"30-39",A265&lt;50,"40-49",A265&lt;60,"50-59",A265&gt;=60,"60+")</f>
        <v>50-59</v>
      </c>
      <c r="U266" t="str">
        <f t="shared" si="29"/>
        <v>High (Stage 2)</v>
      </c>
    </row>
    <row r="267" spans="1:21">
      <c r="A267">
        <v>45</v>
      </c>
      <c r="B267">
        <v>1</v>
      </c>
      <c r="C267">
        <v>0</v>
      </c>
      <c r="D267">
        <v>104</v>
      </c>
      <c r="E267">
        <v>208</v>
      </c>
      <c r="F267">
        <v>0</v>
      </c>
      <c r="G267">
        <v>0</v>
      </c>
      <c r="H267">
        <v>148</v>
      </c>
      <c r="I267">
        <v>1</v>
      </c>
      <c r="J267">
        <v>3</v>
      </c>
      <c r="K267">
        <v>1</v>
      </c>
      <c r="L267">
        <v>0</v>
      </c>
      <c r="M267">
        <v>2</v>
      </c>
      <c r="N267">
        <v>1</v>
      </c>
      <c r="O267" t="str">
        <f t="shared" si="24"/>
        <v>Male</v>
      </c>
      <c r="P267" t="str">
        <f t="shared" si="25"/>
        <v>Heart Disease</v>
      </c>
      <c r="Q267" t="str">
        <f t="shared" si="26"/>
        <v>Typical Angina</v>
      </c>
      <c r="R267" t="str">
        <f t="shared" si="27"/>
        <v>Normal</v>
      </c>
      <c r="S267" t="str">
        <f t="shared" si="28"/>
        <v>Yes</v>
      </c>
      <c r="T267" t="str" cm="1">
        <f t="array" ref="T267">_xlfn.IFS(A266&lt;30,"18-29",A266&lt;40,"30-39",A266&lt;50,"40-49",A266&lt;60,"50-59",A266&gt;=60,"60+")</f>
        <v>50-59</v>
      </c>
      <c r="U267" t="str">
        <f t="shared" si="29"/>
        <v>Normal</v>
      </c>
    </row>
    <row r="268" spans="1:21">
      <c r="A268">
        <v>53</v>
      </c>
      <c r="B268">
        <v>1</v>
      </c>
      <c r="C268">
        <v>0</v>
      </c>
      <c r="D268">
        <v>123</v>
      </c>
      <c r="E268">
        <v>282</v>
      </c>
      <c r="F268">
        <v>0</v>
      </c>
      <c r="G268">
        <v>1</v>
      </c>
      <c r="H268">
        <v>95</v>
      </c>
      <c r="I268">
        <v>1</v>
      </c>
      <c r="J268">
        <v>2</v>
      </c>
      <c r="K268">
        <v>1</v>
      </c>
      <c r="L268">
        <v>2</v>
      </c>
      <c r="M268">
        <v>3</v>
      </c>
      <c r="N268">
        <v>0</v>
      </c>
      <c r="O268" t="str">
        <f t="shared" si="24"/>
        <v>Male</v>
      </c>
      <c r="P268" t="str">
        <f t="shared" si="25"/>
        <v>No Disease</v>
      </c>
      <c r="Q268" t="str">
        <f t="shared" si="26"/>
        <v>Typical Angina</v>
      </c>
      <c r="R268" t="str">
        <f t="shared" si="27"/>
        <v>Normal</v>
      </c>
      <c r="S268" t="str">
        <f t="shared" si="28"/>
        <v>Yes</v>
      </c>
      <c r="T268" t="str" cm="1">
        <f t="array" ref="T268">_xlfn.IFS(A267&lt;30,"18-29",A267&lt;40,"30-39",A267&lt;50,"40-49",A267&lt;60,"50-59",A267&gt;=60,"60+")</f>
        <v>40-49</v>
      </c>
      <c r="U268" t="str">
        <f t="shared" si="29"/>
        <v>Elevated</v>
      </c>
    </row>
    <row r="269" spans="1:21">
      <c r="A269">
        <v>67</v>
      </c>
      <c r="B269">
        <v>1</v>
      </c>
      <c r="C269">
        <v>0</v>
      </c>
      <c r="D269">
        <v>120</v>
      </c>
      <c r="E269">
        <v>237</v>
      </c>
      <c r="F269">
        <v>0</v>
      </c>
      <c r="G269">
        <v>1</v>
      </c>
      <c r="H269">
        <v>71</v>
      </c>
      <c r="I269">
        <v>0</v>
      </c>
      <c r="J269">
        <v>1</v>
      </c>
      <c r="K269">
        <v>1</v>
      </c>
      <c r="L269">
        <v>0</v>
      </c>
      <c r="M269">
        <v>2</v>
      </c>
      <c r="N269">
        <v>0</v>
      </c>
      <c r="O269" t="str">
        <f t="shared" si="24"/>
        <v>Male</v>
      </c>
      <c r="P269" t="str">
        <f t="shared" si="25"/>
        <v>No Disease</v>
      </c>
      <c r="Q269" t="str">
        <f t="shared" si="26"/>
        <v>Typical Angina</v>
      </c>
      <c r="R269" t="str">
        <f t="shared" si="27"/>
        <v>Normal</v>
      </c>
      <c r="S269" t="str">
        <f t="shared" si="28"/>
        <v>No</v>
      </c>
      <c r="T269" t="str" cm="1">
        <f t="array" ref="T269">_xlfn.IFS(A268&lt;30,"18-29",A268&lt;40,"30-39",A268&lt;50,"40-49",A268&lt;60,"50-59",A268&gt;=60,"60+")</f>
        <v>50-59</v>
      </c>
      <c r="U269" t="str">
        <f t="shared" si="29"/>
        <v>Elevated</v>
      </c>
    </row>
    <row r="270" spans="1:21">
      <c r="A270">
        <v>58</v>
      </c>
      <c r="B270">
        <v>1</v>
      </c>
      <c r="C270">
        <v>2</v>
      </c>
      <c r="D270">
        <v>132</v>
      </c>
      <c r="E270">
        <v>224</v>
      </c>
      <c r="F270">
        <v>0</v>
      </c>
      <c r="G270">
        <v>0</v>
      </c>
      <c r="H270">
        <v>173</v>
      </c>
      <c r="I270">
        <v>0</v>
      </c>
      <c r="J270">
        <v>3.2</v>
      </c>
      <c r="K270">
        <v>2</v>
      </c>
      <c r="L270">
        <v>2</v>
      </c>
      <c r="M270">
        <v>3</v>
      </c>
      <c r="N270">
        <v>0</v>
      </c>
      <c r="O270" t="str">
        <f t="shared" si="24"/>
        <v>Male</v>
      </c>
      <c r="P270" t="str">
        <f t="shared" si="25"/>
        <v>No Disease</v>
      </c>
      <c r="Q270" t="str">
        <f t="shared" si="26"/>
        <v>Non-Anginal Pain</v>
      </c>
      <c r="R270" t="str">
        <f t="shared" si="27"/>
        <v>Normal</v>
      </c>
      <c r="S270" t="str">
        <f t="shared" si="28"/>
        <v>No</v>
      </c>
      <c r="T270" t="str" cm="1">
        <f t="array" ref="T270">_xlfn.IFS(A269&lt;30,"18-29",A269&lt;40,"30-39",A269&lt;50,"40-49",A269&lt;60,"50-59",A269&gt;=60,"60+")</f>
        <v>60+</v>
      </c>
      <c r="U270" t="str">
        <f t="shared" si="29"/>
        <v>High (Stage 1)</v>
      </c>
    </row>
    <row r="271" spans="1:21">
      <c r="A271">
        <v>71</v>
      </c>
      <c r="B271">
        <v>0</v>
      </c>
      <c r="C271">
        <v>2</v>
      </c>
      <c r="D271">
        <v>110</v>
      </c>
      <c r="E271">
        <v>265</v>
      </c>
      <c r="F271">
        <v>1</v>
      </c>
      <c r="G271">
        <v>0</v>
      </c>
      <c r="H271">
        <v>130</v>
      </c>
      <c r="I271">
        <v>0</v>
      </c>
      <c r="J271">
        <v>0</v>
      </c>
      <c r="K271">
        <v>2</v>
      </c>
      <c r="L271">
        <v>1</v>
      </c>
      <c r="M271">
        <v>2</v>
      </c>
      <c r="N271">
        <v>1</v>
      </c>
      <c r="O271" t="str">
        <f t="shared" si="24"/>
        <v>Female</v>
      </c>
      <c r="P271" t="str">
        <f t="shared" si="25"/>
        <v>Heart Disease</v>
      </c>
      <c r="Q271" t="str">
        <f t="shared" si="26"/>
        <v>Non-Anginal Pain</v>
      </c>
      <c r="R271" t="str">
        <f t="shared" si="27"/>
        <v>High</v>
      </c>
      <c r="S271" t="str">
        <f t="shared" si="28"/>
        <v>No</v>
      </c>
      <c r="T271" t="str" cm="1">
        <f t="array" ref="T271">_xlfn.IFS(A270&lt;30,"18-29",A270&lt;40,"30-39",A270&lt;50,"40-49",A270&lt;60,"50-59",A270&gt;=60,"60+")</f>
        <v>50-59</v>
      </c>
      <c r="U271" t="str">
        <f t="shared" si="29"/>
        <v>Normal</v>
      </c>
    </row>
    <row r="272" spans="1:21">
      <c r="A272">
        <v>43</v>
      </c>
      <c r="B272">
        <v>1</v>
      </c>
      <c r="C272">
        <v>0</v>
      </c>
      <c r="D272">
        <v>110</v>
      </c>
      <c r="E272">
        <v>211</v>
      </c>
      <c r="F272">
        <v>0</v>
      </c>
      <c r="G272">
        <v>1</v>
      </c>
      <c r="H272">
        <v>161</v>
      </c>
      <c r="I272">
        <v>0</v>
      </c>
      <c r="J272">
        <v>0</v>
      </c>
      <c r="K272">
        <v>2</v>
      </c>
      <c r="L272">
        <v>0</v>
      </c>
      <c r="M272">
        <v>3</v>
      </c>
      <c r="N272">
        <v>1</v>
      </c>
      <c r="O272" t="str">
        <f t="shared" si="24"/>
        <v>Male</v>
      </c>
      <c r="P272" t="str">
        <f t="shared" si="25"/>
        <v>Heart Disease</v>
      </c>
      <c r="Q272" t="str">
        <f t="shared" si="26"/>
        <v>Typical Angina</v>
      </c>
      <c r="R272" t="str">
        <f t="shared" si="27"/>
        <v>Normal</v>
      </c>
      <c r="S272" t="str">
        <f t="shared" si="28"/>
        <v>No</v>
      </c>
      <c r="T272" t="str" cm="1">
        <f t="array" ref="T272">_xlfn.IFS(A271&lt;30,"18-29",A271&lt;40,"30-39",A271&lt;50,"40-49",A271&lt;60,"50-59",A271&gt;=60,"60+")</f>
        <v>60+</v>
      </c>
      <c r="U272" t="str">
        <f t="shared" si="29"/>
        <v>Normal</v>
      </c>
    </row>
    <row r="273" spans="1:21">
      <c r="A273">
        <v>44</v>
      </c>
      <c r="B273">
        <v>1</v>
      </c>
      <c r="C273">
        <v>1</v>
      </c>
      <c r="D273">
        <v>120</v>
      </c>
      <c r="E273">
        <v>263</v>
      </c>
      <c r="F273">
        <v>0</v>
      </c>
      <c r="G273">
        <v>1</v>
      </c>
      <c r="H273">
        <v>173</v>
      </c>
      <c r="I273">
        <v>0</v>
      </c>
      <c r="J273">
        <v>0</v>
      </c>
      <c r="K273">
        <v>2</v>
      </c>
      <c r="L273">
        <v>0</v>
      </c>
      <c r="M273">
        <v>3</v>
      </c>
      <c r="N273">
        <v>1</v>
      </c>
      <c r="O273" t="str">
        <f t="shared" si="24"/>
        <v>Male</v>
      </c>
      <c r="P273" t="str">
        <f t="shared" si="25"/>
        <v>Heart Disease</v>
      </c>
      <c r="Q273" t="str">
        <f t="shared" si="26"/>
        <v>Atypical Angina</v>
      </c>
      <c r="R273" t="str">
        <f t="shared" si="27"/>
        <v>Normal</v>
      </c>
      <c r="S273" t="str">
        <f t="shared" si="28"/>
        <v>No</v>
      </c>
      <c r="T273" t="str" cm="1">
        <f t="array" ref="T273">_xlfn.IFS(A272&lt;30,"18-29",A272&lt;40,"30-39",A272&lt;50,"40-49",A272&lt;60,"50-59",A272&gt;=60,"60+")</f>
        <v>40-49</v>
      </c>
      <c r="U273" t="str">
        <f t="shared" si="29"/>
        <v>Elevated</v>
      </c>
    </row>
    <row r="274" spans="1:21">
      <c r="A274">
        <v>39</v>
      </c>
      <c r="B274">
        <v>0</v>
      </c>
      <c r="C274">
        <v>2</v>
      </c>
      <c r="D274">
        <v>138</v>
      </c>
      <c r="E274">
        <v>220</v>
      </c>
      <c r="F274">
        <v>0</v>
      </c>
      <c r="G274">
        <v>1</v>
      </c>
      <c r="H274">
        <v>152</v>
      </c>
      <c r="I274">
        <v>0</v>
      </c>
      <c r="J274">
        <v>0</v>
      </c>
      <c r="K274">
        <v>1</v>
      </c>
      <c r="L274">
        <v>0</v>
      </c>
      <c r="M274">
        <v>2</v>
      </c>
      <c r="N274">
        <v>1</v>
      </c>
      <c r="O274" t="str">
        <f t="shared" si="24"/>
        <v>Female</v>
      </c>
      <c r="P274" t="str">
        <f t="shared" si="25"/>
        <v>Heart Disease</v>
      </c>
      <c r="Q274" t="str">
        <f t="shared" si="26"/>
        <v>Non-Anginal Pain</v>
      </c>
      <c r="R274" t="str">
        <f t="shared" si="27"/>
        <v>Normal</v>
      </c>
      <c r="S274" t="str">
        <f t="shared" si="28"/>
        <v>No</v>
      </c>
      <c r="T274" t="str" cm="1">
        <f t="array" ref="T274">_xlfn.IFS(A273&lt;30,"18-29",A273&lt;40,"30-39",A273&lt;50,"40-49",A273&lt;60,"50-59",A273&gt;=60,"60+")</f>
        <v>40-49</v>
      </c>
      <c r="U274" t="str">
        <f t="shared" si="29"/>
        <v>High (Stage 1)</v>
      </c>
    </row>
    <row r="275" spans="1:21">
      <c r="A275">
        <v>54</v>
      </c>
      <c r="B275">
        <v>1</v>
      </c>
      <c r="C275">
        <v>0</v>
      </c>
      <c r="D275">
        <v>110</v>
      </c>
      <c r="E275">
        <v>206</v>
      </c>
      <c r="F275">
        <v>0</v>
      </c>
      <c r="G275">
        <v>0</v>
      </c>
      <c r="H275">
        <v>108</v>
      </c>
      <c r="I275">
        <v>1</v>
      </c>
      <c r="J275">
        <v>0</v>
      </c>
      <c r="K275">
        <v>1</v>
      </c>
      <c r="L275">
        <v>1</v>
      </c>
      <c r="M275">
        <v>2</v>
      </c>
      <c r="N275">
        <v>0</v>
      </c>
      <c r="O275" t="str">
        <f t="shared" si="24"/>
        <v>Male</v>
      </c>
      <c r="P275" t="str">
        <f t="shared" si="25"/>
        <v>No Disease</v>
      </c>
      <c r="Q275" t="str">
        <f t="shared" si="26"/>
        <v>Typical Angina</v>
      </c>
      <c r="R275" t="str">
        <f t="shared" si="27"/>
        <v>Normal</v>
      </c>
      <c r="S275" t="str">
        <f t="shared" si="28"/>
        <v>Yes</v>
      </c>
      <c r="T275" t="str" cm="1">
        <f t="array" ref="T275">_xlfn.IFS(A274&lt;30,"18-29",A274&lt;40,"30-39",A274&lt;50,"40-49",A274&lt;60,"50-59",A274&gt;=60,"60+")</f>
        <v>30-39</v>
      </c>
      <c r="U275" t="str">
        <f t="shared" si="29"/>
        <v>Normal</v>
      </c>
    </row>
    <row r="276" spans="1:21">
      <c r="A276">
        <v>66</v>
      </c>
      <c r="B276">
        <v>1</v>
      </c>
      <c r="C276">
        <v>0</v>
      </c>
      <c r="D276">
        <v>160</v>
      </c>
      <c r="E276">
        <v>228</v>
      </c>
      <c r="F276">
        <v>0</v>
      </c>
      <c r="G276">
        <v>0</v>
      </c>
      <c r="H276">
        <v>138</v>
      </c>
      <c r="I276">
        <v>0</v>
      </c>
      <c r="J276">
        <v>2.2999999999999998</v>
      </c>
      <c r="K276">
        <v>2</v>
      </c>
      <c r="L276">
        <v>0</v>
      </c>
      <c r="M276">
        <v>1</v>
      </c>
      <c r="N276">
        <v>1</v>
      </c>
      <c r="O276" t="str">
        <f t="shared" si="24"/>
        <v>Male</v>
      </c>
      <c r="P276" t="str">
        <f t="shared" si="25"/>
        <v>Heart Disease</v>
      </c>
      <c r="Q276" t="str">
        <f t="shared" si="26"/>
        <v>Typical Angina</v>
      </c>
      <c r="R276" t="str">
        <f t="shared" si="27"/>
        <v>Normal</v>
      </c>
      <c r="S276" t="str">
        <f t="shared" si="28"/>
        <v>No</v>
      </c>
      <c r="T276" t="str" cm="1">
        <f t="array" ref="T276">_xlfn.IFS(A275&lt;30,"18-29",A275&lt;40,"30-39",A275&lt;50,"40-49",A275&lt;60,"50-59",A275&gt;=60,"60+")</f>
        <v>50-59</v>
      </c>
      <c r="U276" t="str">
        <f t="shared" si="29"/>
        <v>High (Stage 2)</v>
      </c>
    </row>
    <row r="277" spans="1:21">
      <c r="A277">
        <v>56</v>
      </c>
      <c r="B277">
        <v>1</v>
      </c>
      <c r="C277">
        <v>0</v>
      </c>
      <c r="D277">
        <v>130</v>
      </c>
      <c r="E277">
        <v>283</v>
      </c>
      <c r="F277">
        <v>1</v>
      </c>
      <c r="G277">
        <v>0</v>
      </c>
      <c r="H277">
        <v>103</v>
      </c>
      <c r="I277">
        <v>1</v>
      </c>
      <c r="J277">
        <v>1.6</v>
      </c>
      <c r="K277">
        <v>0</v>
      </c>
      <c r="L277">
        <v>0</v>
      </c>
      <c r="M277">
        <v>3</v>
      </c>
      <c r="N277">
        <v>0</v>
      </c>
      <c r="O277" t="str">
        <f t="shared" si="24"/>
        <v>Male</v>
      </c>
      <c r="P277" t="str">
        <f t="shared" si="25"/>
        <v>No Disease</v>
      </c>
      <c r="Q277" t="str">
        <f t="shared" si="26"/>
        <v>Typical Angina</v>
      </c>
      <c r="R277" t="str">
        <f t="shared" si="27"/>
        <v>High</v>
      </c>
      <c r="S277" t="str">
        <f t="shared" si="28"/>
        <v>Yes</v>
      </c>
      <c r="T277" t="str" cm="1">
        <f t="array" ref="T277">_xlfn.IFS(A276&lt;30,"18-29",A276&lt;40,"30-39",A276&lt;50,"40-49",A276&lt;60,"50-59",A276&gt;=60,"60+")</f>
        <v>60+</v>
      </c>
      <c r="U277" t="str">
        <f t="shared" si="29"/>
        <v>High (Stage 1)</v>
      </c>
    </row>
    <row r="278" spans="1:21">
      <c r="A278">
        <v>57</v>
      </c>
      <c r="B278">
        <v>1</v>
      </c>
      <c r="C278">
        <v>0</v>
      </c>
      <c r="D278">
        <v>132</v>
      </c>
      <c r="E278">
        <v>207</v>
      </c>
      <c r="F278">
        <v>0</v>
      </c>
      <c r="G278">
        <v>1</v>
      </c>
      <c r="H278">
        <v>168</v>
      </c>
      <c r="I278">
        <v>1</v>
      </c>
      <c r="J278">
        <v>0</v>
      </c>
      <c r="K278">
        <v>2</v>
      </c>
      <c r="L278">
        <v>0</v>
      </c>
      <c r="M278">
        <v>3</v>
      </c>
      <c r="N278">
        <v>1</v>
      </c>
      <c r="O278" t="str">
        <f t="shared" si="24"/>
        <v>Male</v>
      </c>
      <c r="P278" t="str">
        <f t="shared" si="25"/>
        <v>Heart Disease</v>
      </c>
      <c r="Q278" t="str">
        <f t="shared" si="26"/>
        <v>Typical Angina</v>
      </c>
      <c r="R278" t="str">
        <f t="shared" si="27"/>
        <v>Normal</v>
      </c>
      <c r="S278" t="str">
        <f t="shared" si="28"/>
        <v>Yes</v>
      </c>
      <c r="T278" t="str" cm="1">
        <f t="array" ref="T278">_xlfn.IFS(A277&lt;30,"18-29",A277&lt;40,"30-39",A277&lt;50,"40-49",A277&lt;60,"50-59",A277&gt;=60,"60+")</f>
        <v>50-59</v>
      </c>
      <c r="U278" t="str">
        <f t="shared" si="29"/>
        <v>High (Stage 1)</v>
      </c>
    </row>
    <row r="279" spans="1:21">
      <c r="A279">
        <v>44</v>
      </c>
      <c r="B279">
        <v>1</v>
      </c>
      <c r="C279">
        <v>1</v>
      </c>
      <c r="D279">
        <v>130</v>
      </c>
      <c r="E279">
        <v>219</v>
      </c>
      <c r="F279">
        <v>0</v>
      </c>
      <c r="G279">
        <v>0</v>
      </c>
      <c r="H279">
        <v>188</v>
      </c>
      <c r="I279">
        <v>0</v>
      </c>
      <c r="J279">
        <v>0</v>
      </c>
      <c r="K279">
        <v>2</v>
      </c>
      <c r="L279">
        <v>0</v>
      </c>
      <c r="M279">
        <v>2</v>
      </c>
      <c r="N279">
        <v>1</v>
      </c>
      <c r="O279" t="str">
        <f t="shared" si="24"/>
        <v>Male</v>
      </c>
      <c r="P279" t="str">
        <f t="shared" si="25"/>
        <v>Heart Disease</v>
      </c>
      <c r="Q279" t="str">
        <f t="shared" si="26"/>
        <v>Atypical Angina</v>
      </c>
      <c r="R279" t="str">
        <f t="shared" si="27"/>
        <v>Normal</v>
      </c>
      <c r="S279" t="str">
        <f t="shared" si="28"/>
        <v>No</v>
      </c>
      <c r="T279" t="str" cm="1">
        <f t="array" ref="T279">_xlfn.IFS(A278&lt;30,"18-29",A278&lt;40,"30-39",A278&lt;50,"40-49",A278&lt;60,"50-59",A278&gt;=60,"60+")</f>
        <v>50-59</v>
      </c>
      <c r="U279" t="str">
        <f t="shared" si="29"/>
        <v>High (Stage 1)</v>
      </c>
    </row>
    <row r="280" spans="1:21">
      <c r="A280">
        <v>55</v>
      </c>
      <c r="B280">
        <v>1</v>
      </c>
      <c r="C280">
        <v>0</v>
      </c>
      <c r="D280">
        <v>160</v>
      </c>
      <c r="E280">
        <v>289</v>
      </c>
      <c r="F280">
        <v>0</v>
      </c>
      <c r="G280">
        <v>0</v>
      </c>
      <c r="H280">
        <v>145</v>
      </c>
      <c r="I280">
        <v>1</v>
      </c>
      <c r="J280">
        <v>0.8</v>
      </c>
      <c r="K280">
        <v>1</v>
      </c>
      <c r="L280">
        <v>1</v>
      </c>
      <c r="M280">
        <v>3</v>
      </c>
      <c r="N280">
        <v>0</v>
      </c>
      <c r="O280" t="str">
        <f t="shared" si="24"/>
        <v>Male</v>
      </c>
      <c r="P280" t="str">
        <f t="shared" si="25"/>
        <v>No Disease</v>
      </c>
      <c r="Q280" t="str">
        <f t="shared" si="26"/>
        <v>Typical Angina</v>
      </c>
      <c r="R280" t="str">
        <f t="shared" si="27"/>
        <v>Normal</v>
      </c>
      <c r="S280" t="str">
        <f t="shared" si="28"/>
        <v>Yes</v>
      </c>
      <c r="T280" t="str" cm="1">
        <f t="array" ref="T280">_xlfn.IFS(A279&lt;30,"18-29",A279&lt;40,"30-39",A279&lt;50,"40-49",A279&lt;60,"50-59",A279&gt;=60,"60+")</f>
        <v>40-49</v>
      </c>
      <c r="U280" t="str">
        <f t="shared" si="29"/>
        <v>High (Stage 2)</v>
      </c>
    </row>
    <row r="281" spans="1:21">
      <c r="A281">
        <v>41</v>
      </c>
      <c r="B281">
        <v>0</v>
      </c>
      <c r="C281">
        <v>1</v>
      </c>
      <c r="D281">
        <v>105</v>
      </c>
      <c r="E281">
        <v>198</v>
      </c>
      <c r="F281">
        <v>0</v>
      </c>
      <c r="G281">
        <v>1</v>
      </c>
      <c r="H281">
        <v>168</v>
      </c>
      <c r="I281">
        <v>0</v>
      </c>
      <c r="J281">
        <v>0</v>
      </c>
      <c r="K281">
        <v>2</v>
      </c>
      <c r="L281">
        <v>1</v>
      </c>
      <c r="M281">
        <v>2</v>
      </c>
      <c r="N281">
        <v>1</v>
      </c>
      <c r="O281" t="str">
        <f t="shared" si="24"/>
        <v>Female</v>
      </c>
      <c r="P281" t="str">
        <f t="shared" si="25"/>
        <v>Heart Disease</v>
      </c>
      <c r="Q281" t="str">
        <f t="shared" si="26"/>
        <v>Atypical Angina</v>
      </c>
      <c r="R281" t="str">
        <f t="shared" si="27"/>
        <v>Normal</v>
      </c>
      <c r="S281" t="str">
        <f t="shared" si="28"/>
        <v>No</v>
      </c>
      <c r="T281" t="str" cm="1">
        <f t="array" ref="T281">_xlfn.IFS(A280&lt;30,"18-29",A280&lt;40,"30-39",A280&lt;50,"40-49",A280&lt;60,"50-59",A280&gt;=60,"60+")</f>
        <v>50-59</v>
      </c>
      <c r="U281" t="str">
        <f t="shared" si="29"/>
        <v>Normal</v>
      </c>
    </row>
    <row r="282" spans="1:21">
      <c r="A282">
        <v>45</v>
      </c>
      <c r="B282">
        <v>0</v>
      </c>
      <c r="C282">
        <v>1</v>
      </c>
      <c r="D282">
        <v>130</v>
      </c>
      <c r="E282">
        <v>234</v>
      </c>
      <c r="F282">
        <v>0</v>
      </c>
      <c r="G282">
        <v>0</v>
      </c>
      <c r="H282">
        <v>175</v>
      </c>
      <c r="I282">
        <v>0</v>
      </c>
      <c r="J282">
        <v>0.6</v>
      </c>
      <c r="K282">
        <v>1</v>
      </c>
      <c r="L282">
        <v>0</v>
      </c>
      <c r="M282">
        <v>2</v>
      </c>
      <c r="N282">
        <v>1</v>
      </c>
      <c r="O282" t="str">
        <f t="shared" si="24"/>
        <v>Female</v>
      </c>
      <c r="P282" t="str">
        <f t="shared" si="25"/>
        <v>Heart Disease</v>
      </c>
      <c r="Q282" t="str">
        <f t="shared" si="26"/>
        <v>Atypical Angina</v>
      </c>
      <c r="R282" t="str">
        <f t="shared" si="27"/>
        <v>Normal</v>
      </c>
      <c r="S282" t="str">
        <f t="shared" si="28"/>
        <v>No</v>
      </c>
      <c r="T282" t="str" cm="1">
        <f t="array" ref="T282">_xlfn.IFS(A281&lt;30,"18-29",A281&lt;40,"30-39",A281&lt;50,"40-49",A281&lt;60,"50-59",A281&gt;=60,"60+")</f>
        <v>40-49</v>
      </c>
      <c r="U282" t="str">
        <f t="shared" si="29"/>
        <v>High (Stage 1)</v>
      </c>
    </row>
    <row r="283" spans="1:21">
      <c r="A283">
        <v>35</v>
      </c>
      <c r="B283">
        <v>1</v>
      </c>
      <c r="C283">
        <v>1</v>
      </c>
      <c r="D283">
        <v>122</v>
      </c>
      <c r="E283">
        <v>192</v>
      </c>
      <c r="F283">
        <v>0</v>
      </c>
      <c r="G283">
        <v>1</v>
      </c>
      <c r="H283">
        <v>174</v>
      </c>
      <c r="I283">
        <v>0</v>
      </c>
      <c r="J283">
        <v>0</v>
      </c>
      <c r="K283">
        <v>2</v>
      </c>
      <c r="L283">
        <v>0</v>
      </c>
      <c r="M283">
        <v>2</v>
      </c>
      <c r="N283">
        <v>1</v>
      </c>
      <c r="O283" t="str">
        <f t="shared" si="24"/>
        <v>Male</v>
      </c>
      <c r="P283" t="str">
        <f t="shared" si="25"/>
        <v>Heart Disease</v>
      </c>
      <c r="Q283" t="str">
        <f t="shared" si="26"/>
        <v>Atypical Angina</v>
      </c>
      <c r="R283" t="str">
        <f t="shared" si="27"/>
        <v>Normal</v>
      </c>
      <c r="S283" t="str">
        <f t="shared" si="28"/>
        <v>No</v>
      </c>
      <c r="T283" t="str" cm="1">
        <f t="array" ref="T283">_xlfn.IFS(A282&lt;30,"18-29",A282&lt;40,"30-39",A282&lt;50,"40-49",A282&lt;60,"50-59",A282&gt;=60,"60+")</f>
        <v>40-49</v>
      </c>
      <c r="U283" t="str">
        <f t="shared" si="29"/>
        <v>Elevated</v>
      </c>
    </row>
    <row r="284" spans="1:21">
      <c r="A284">
        <v>41</v>
      </c>
      <c r="B284">
        <v>0</v>
      </c>
      <c r="C284">
        <v>1</v>
      </c>
      <c r="D284">
        <v>130</v>
      </c>
      <c r="E284">
        <v>204</v>
      </c>
      <c r="F284">
        <v>0</v>
      </c>
      <c r="G284">
        <v>0</v>
      </c>
      <c r="H284">
        <v>172</v>
      </c>
      <c r="I284">
        <v>0</v>
      </c>
      <c r="J284">
        <v>1.4</v>
      </c>
      <c r="K284">
        <v>2</v>
      </c>
      <c r="L284">
        <v>0</v>
      </c>
      <c r="M284">
        <v>2</v>
      </c>
      <c r="N284">
        <v>1</v>
      </c>
      <c r="O284" t="str">
        <f t="shared" si="24"/>
        <v>Female</v>
      </c>
      <c r="P284" t="str">
        <f t="shared" si="25"/>
        <v>Heart Disease</v>
      </c>
      <c r="Q284" t="str">
        <f t="shared" si="26"/>
        <v>Atypical Angina</v>
      </c>
      <c r="R284" t="str">
        <f t="shared" si="27"/>
        <v>Normal</v>
      </c>
      <c r="S284" t="str">
        <f t="shared" si="28"/>
        <v>No</v>
      </c>
      <c r="T284" t="str" cm="1">
        <f t="array" ref="T284">_xlfn.IFS(A283&lt;30,"18-29",A283&lt;40,"30-39",A283&lt;50,"40-49",A283&lt;60,"50-59",A283&gt;=60,"60+")</f>
        <v>30-39</v>
      </c>
      <c r="U284" t="str">
        <f t="shared" si="29"/>
        <v>High (Stage 1)</v>
      </c>
    </row>
    <row r="285" spans="1:21">
      <c r="A285">
        <v>64</v>
      </c>
      <c r="B285">
        <v>1</v>
      </c>
      <c r="C285">
        <v>3</v>
      </c>
      <c r="D285">
        <v>110</v>
      </c>
      <c r="E285">
        <v>211</v>
      </c>
      <c r="F285">
        <v>0</v>
      </c>
      <c r="G285">
        <v>0</v>
      </c>
      <c r="H285">
        <v>144</v>
      </c>
      <c r="I285">
        <v>1</v>
      </c>
      <c r="J285">
        <v>1.8</v>
      </c>
      <c r="K285">
        <v>1</v>
      </c>
      <c r="L285">
        <v>0</v>
      </c>
      <c r="M285">
        <v>2</v>
      </c>
      <c r="N285">
        <v>1</v>
      </c>
      <c r="O285" t="str">
        <f t="shared" si="24"/>
        <v>Male</v>
      </c>
      <c r="P285" t="str">
        <f t="shared" si="25"/>
        <v>Heart Disease</v>
      </c>
      <c r="Q285" t="str">
        <f t="shared" si="26"/>
        <v>Asymptomatic</v>
      </c>
      <c r="R285" t="str">
        <f t="shared" si="27"/>
        <v>Normal</v>
      </c>
      <c r="S285" t="str">
        <f t="shared" si="28"/>
        <v>Yes</v>
      </c>
      <c r="T285" t="str" cm="1">
        <f t="array" ref="T285">_xlfn.IFS(A284&lt;30,"18-29",A284&lt;40,"30-39",A284&lt;50,"40-49",A284&lt;60,"50-59",A284&gt;=60,"60+")</f>
        <v>40-49</v>
      </c>
      <c r="U285" t="str">
        <f t="shared" si="29"/>
        <v>Normal</v>
      </c>
    </row>
    <row r="286" spans="1:21">
      <c r="A286">
        <v>58</v>
      </c>
      <c r="B286">
        <v>1</v>
      </c>
      <c r="C286">
        <v>2</v>
      </c>
      <c r="D286">
        <v>132</v>
      </c>
      <c r="E286">
        <v>224</v>
      </c>
      <c r="F286">
        <v>0</v>
      </c>
      <c r="G286">
        <v>0</v>
      </c>
      <c r="H286">
        <v>173</v>
      </c>
      <c r="I286">
        <v>0</v>
      </c>
      <c r="J286">
        <v>3.2</v>
      </c>
      <c r="K286">
        <v>2</v>
      </c>
      <c r="L286">
        <v>2</v>
      </c>
      <c r="M286">
        <v>3</v>
      </c>
      <c r="N286">
        <v>0</v>
      </c>
      <c r="O286" t="str">
        <f t="shared" si="24"/>
        <v>Male</v>
      </c>
      <c r="P286" t="str">
        <f t="shared" si="25"/>
        <v>No Disease</v>
      </c>
      <c r="Q286" t="str">
        <f t="shared" si="26"/>
        <v>Non-Anginal Pain</v>
      </c>
      <c r="R286" t="str">
        <f t="shared" si="27"/>
        <v>Normal</v>
      </c>
      <c r="S286" t="str">
        <f t="shared" si="28"/>
        <v>No</v>
      </c>
      <c r="T286" t="str" cm="1">
        <f t="array" ref="T286">_xlfn.IFS(A285&lt;30,"18-29",A285&lt;40,"30-39",A285&lt;50,"40-49",A285&lt;60,"50-59",A285&gt;=60,"60+")</f>
        <v>60+</v>
      </c>
      <c r="U286" t="str">
        <f t="shared" si="29"/>
        <v>High (Stage 1)</v>
      </c>
    </row>
    <row r="287" spans="1:21">
      <c r="A287">
        <v>71</v>
      </c>
      <c r="B287">
        <v>0</v>
      </c>
      <c r="C287">
        <v>2</v>
      </c>
      <c r="D287">
        <v>110</v>
      </c>
      <c r="E287">
        <v>265</v>
      </c>
      <c r="F287">
        <v>1</v>
      </c>
      <c r="G287">
        <v>0</v>
      </c>
      <c r="H287">
        <v>130</v>
      </c>
      <c r="I287">
        <v>0</v>
      </c>
      <c r="J287">
        <v>0</v>
      </c>
      <c r="K287">
        <v>2</v>
      </c>
      <c r="L287">
        <v>1</v>
      </c>
      <c r="M287">
        <v>2</v>
      </c>
      <c r="N287">
        <v>1</v>
      </c>
      <c r="O287" t="str">
        <f t="shared" si="24"/>
        <v>Female</v>
      </c>
      <c r="P287" t="str">
        <f t="shared" si="25"/>
        <v>Heart Disease</v>
      </c>
      <c r="Q287" t="str">
        <f t="shared" si="26"/>
        <v>Non-Anginal Pain</v>
      </c>
      <c r="R287" t="str">
        <f t="shared" si="27"/>
        <v>High</v>
      </c>
      <c r="S287" t="str">
        <f t="shared" si="28"/>
        <v>No</v>
      </c>
      <c r="T287" t="str" cm="1">
        <f t="array" ref="T287">_xlfn.IFS(A286&lt;30,"18-29",A286&lt;40,"30-39",A286&lt;50,"40-49",A286&lt;60,"50-59",A286&gt;=60,"60+")</f>
        <v>50-59</v>
      </c>
      <c r="U287" t="str">
        <f t="shared" si="29"/>
        <v>Normal</v>
      </c>
    </row>
    <row r="288" spans="1:21">
      <c r="A288">
        <v>64</v>
      </c>
      <c r="B288">
        <v>0</v>
      </c>
      <c r="C288">
        <v>2</v>
      </c>
      <c r="D288">
        <v>140</v>
      </c>
      <c r="E288">
        <v>313</v>
      </c>
      <c r="F288">
        <v>0</v>
      </c>
      <c r="G288">
        <v>1</v>
      </c>
      <c r="H288">
        <v>133</v>
      </c>
      <c r="I288">
        <v>0</v>
      </c>
      <c r="J288">
        <v>0.2</v>
      </c>
      <c r="K288">
        <v>2</v>
      </c>
      <c r="L288">
        <v>0</v>
      </c>
      <c r="M288">
        <v>3</v>
      </c>
      <c r="N288">
        <v>1</v>
      </c>
      <c r="O288" t="str">
        <f t="shared" si="24"/>
        <v>Female</v>
      </c>
      <c r="P288" t="str">
        <f t="shared" si="25"/>
        <v>Heart Disease</v>
      </c>
      <c r="Q288" t="str">
        <f t="shared" si="26"/>
        <v>Non-Anginal Pain</v>
      </c>
      <c r="R288" t="str">
        <f t="shared" si="27"/>
        <v>Normal</v>
      </c>
      <c r="S288" t="str">
        <f t="shared" si="28"/>
        <v>No</v>
      </c>
      <c r="T288" t="str" cm="1">
        <f t="array" ref="T288">_xlfn.IFS(A287&lt;30,"18-29",A287&lt;40,"30-39",A287&lt;50,"40-49",A287&lt;60,"50-59",A287&gt;=60,"60+")</f>
        <v>60+</v>
      </c>
      <c r="U288" t="str">
        <f t="shared" si="29"/>
        <v>High (Stage 2)</v>
      </c>
    </row>
    <row r="289" spans="1:21">
      <c r="A289">
        <v>71</v>
      </c>
      <c r="B289">
        <v>0</v>
      </c>
      <c r="C289">
        <v>1</v>
      </c>
      <c r="D289">
        <v>160</v>
      </c>
      <c r="E289">
        <v>302</v>
      </c>
      <c r="F289">
        <v>0</v>
      </c>
      <c r="G289">
        <v>1</v>
      </c>
      <c r="H289">
        <v>162</v>
      </c>
      <c r="I289">
        <v>0</v>
      </c>
      <c r="J289">
        <v>0.4</v>
      </c>
      <c r="K289">
        <v>2</v>
      </c>
      <c r="L289">
        <v>2</v>
      </c>
      <c r="M289">
        <v>2</v>
      </c>
      <c r="N289">
        <v>1</v>
      </c>
      <c r="O289" t="str">
        <f t="shared" si="24"/>
        <v>Female</v>
      </c>
      <c r="P289" t="str">
        <f t="shared" si="25"/>
        <v>Heart Disease</v>
      </c>
      <c r="Q289" t="str">
        <f t="shared" si="26"/>
        <v>Atypical Angina</v>
      </c>
      <c r="R289" t="str">
        <f t="shared" si="27"/>
        <v>Normal</v>
      </c>
      <c r="S289" t="str">
        <f t="shared" si="28"/>
        <v>No</v>
      </c>
      <c r="T289" t="str" cm="1">
        <f t="array" ref="T289">_xlfn.IFS(A288&lt;30,"18-29",A288&lt;40,"30-39",A288&lt;50,"40-49",A288&lt;60,"50-59",A288&gt;=60,"60+")</f>
        <v>60+</v>
      </c>
      <c r="U289" t="str">
        <f t="shared" si="29"/>
        <v>High (Stage 2)</v>
      </c>
    </row>
    <row r="290" spans="1:21">
      <c r="A290">
        <v>58</v>
      </c>
      <c r="B290">
        <v>0</v>
      </c>
      <c r="C290">
        <v>2</v>
      </c>
      <c r="D290">
        <v>120</v>
      </c>
      <c r="E290">
        <v>340</v>
      </c>
      <c r="F290">
        <v>0</v>
      </c>
      <c r="G290">
        <v>1</v>
      </c>
      <c r="H290">
        <v>172</v>
      </c>
      <c r="I290">
        <v>0</v>
      </c>
      <c r="J290">
        <v>0</v>
      </c>
      <c r="K290">
        <v>2</v>
      </c>
      <c r="L290">
        <v>0</v>
      </c>
      <c r="M290">
        <v>2</v>
      </c>
      <c r="N290">
        <v>1</v>
      </c>
      <c r="O290" t="str">
        <f t="shared" si="24"/>
        <v>Female</v>
      </c>
      <c r="P290" t="str">
        <f t="shared" si="25"/>
        <v>Heart Disease</v>
      </c>
      <c r="Q290" t="str">
        <f t="shared" si="26"/>
        <v>Non-Anginal Pain</v>
      </c>
      <c r="R290" t="str">
        <f t="shared" si="27"/>
        <v>Normal</v>
      </c>
      <c r="S290" t="str">
        <f t="shared" si="28"/>
        <v>No</v>
      </c>
      <c r="T290" t="str" cm="1">
        <f t="array" ref="T290">_xlfn.IFS(A289&lt;30,"18-29",A289&lt;40,"30-39",A289&lt;50,"40-49",A289&lt;60,"50-59",A289&gt;=60,"60+")</f>
        <v>60+</v>
      </c>
      <c r="U290" t="str">
        <f t="shared" si="29"/>
        <v>Elevated</v>
      </c>
    </row>
    <row r="291" spans="1:21">
      <c r="A291">
        <v>40</v>
      </c>
      <c r="B291">
        <v>1</v>
      </c>
      <c r="C291">
        <v>0</v>
      </c>
      <c r="D291">
        <v>152</v>
      </c>
      <c r="E291">
        <v>223</v>
      </c>
      <c r="F291">
        <v>0</v>
      </c>
      <c r="G291">
        <v>1</v>
      </c>
      <c r="H291">
        <v>181</v>
      </c>
      <c r="I291">
        <v>0</v>
      </c>
      <c r="J291">
        <v>0</v>
      </c>
      <c r="K291">
        <v>2</v>
      </c>
      <c r="L291">
        <v>0</v>
      </c>
      <c r="M291">
        <v>3</v>
      </c>
      <c r="N291">
        <v>0</v>
      </c>
      <c r="O291" t="str">
        <f t="shared" si="24"/>
        <v>Male</v>
      </c>
      <c r="P291" t="str">
        <f t="shared" si="25"/>
        <v>No Disease</v>
      </c>
      <c r="Q291" t="str">
        <f t="shared" si="26"/>
        <v>Typical Angina</v>
      </c>
      <c r="R291" t="str">
        <f t="shared" si="27"/>
        <v>Normal</v>
      </c>
      <c r="S291" t="str">
        <f t="shared" si="28"/>
        <v>No</v>
      </c>
      <c r="T291" t="str" cm="1">
        <f t="array" ref="T291">_xlfn.IFS(A290&lt;30,"18-29",A290&lt;40,"30-39",A290&lt;50,"40-49",A290&lt;60,"50-59",A290&gt;=60,"60+")</f>
        <v>50-59</v>
      </c>
      <c r="U291" t="str">
        <f t="shared" si="29"/>
        <v>High (Stage 2)</v>
      </c>
    </row>
    <row r="292" spans="1:21">
      <c r="A292">
        <v>52</v>
      </c>
      <c r="B292">
        <v>1</v>
      </c>
      <c r="C292">
        <v>2</v>
      </c>
      <c r="D292">
        <v>138</v>
      </c>
      <c r="E292">
        <v>223</v>
      </c>
      <c r="F292">
        <v>0</v>
      </c>
      <c r="G292">
        <v>1</v>
      </c>
      <c r="H292">
        <v>169</v>
      </c>
      <c r="I292">
        <v>0</v>
      </c>
      <c r="J292">
        <v>0</v>
      </c>
      <c r="K292">
        <v>2</v>
      </c>
      <c r="L292">
        <v>4</v>
      </c>
      <c r="M292">
        <v>2</v>
      </c>
      <c r="N292">
        <v>1</v>
      </c>
      <c r="O292" t="str">
        <f t="shared" si="24"/>
        <v>Male</v>
      </c>
      <c r="P292" t="str">
        <f t="shared" si="25"/>
        <v>Heart Disease</v>
      </c>
      <c r="Q292" t="str">
        <f t="shared" si="26"/>
        <v>Non-Anginal Pain</v>
      </c>
      <c r="R292" t="str">
        <f t="shared" si="27"/>
        <v>Normal</v>
      </c>
      <c r="S292" t="str">
        <f t="shared" si="28"/>
        <v>No</v>
      </c>
      <c r="T292" t="str" cm="1">
        <f t="array" ref="T292">_xlfn.IFS(A291&lt;30,"18-29",A291&lt;40,"30-39",A291&lt;50,"40-49",A291&lt;60,"50-59",A291&gt;=60,"60+")</f>
        <v>40-49</v>
      </c>
      <c r="U292" t="str">
        <f t="shared" si="29"/>
        <v>High (Stage 1)</v>
      </c>
    </row>
    <row r="293" spans="1:21">
      <c r="A293">
        <v>58</v>
      </c>
      <c r="B293">
        <v>1</v>
      </c>
      <c r="C293">
        <v>0</v>
      </c>
      <c r="D293">
        <v>128</v>
      </c>
      <c r="E293">
        <v>259</v>
      </c>
      <c r="F293">
        <v>0</v>
      </c>
      <c r="G293">
        <v>0</v>
      </c>
      <c r="H293">
        <v>130</v>
      </c>
      <c r="I293">
        <v>1</v>
      </c>
      <c r="J293">
        <v>3</v>
      </c>
      <c r="K293">
        <v>1</v>
      </c>
      <c r="L293">
        <v>2</v>
      </c>
      <c r="M293">
        <v>3</v>
      </c>
      <c r="N293">
        <v>0</v>
      </c>
      <c r="O293" t="str">
        <f t="shared" si="24"/>
        <v>Male</v>
      </c>
      <c r="P293" t="str">
        <f t="shared" si="25"/>
        <v>No Disease</v>
      </c>
      <c r="Q293" t="str">
        <f t="shared" si="26"/>
        <v>Typical Angina</v>
      </c>
      <c r="R293" t="str">
        <f t="shared" si="27"/>
        <v>Normal</v>
      </c>
      <c r="S293" t="str">
        <f t="shared" si="28"/>
        <v>Yes</v>
      </c>
      <c r="T293" t="str" cm="1">
        <f t="array" ref="T293">_xlfn.IFS(A292&lt;30,"18-29",A292&lt;40,"30-39",A292&lt;50,"40-49",A292&lt;60,"50-59",A292&gt;=60,"60+")</f>
        <v>50-59</v>
      </c>
      <c r="U293" t="str">
        <f t="shared" si="29"/>
        <v>Elevated</v>
      </c>
    </row>
    <row r="294" spans="1:21">
      <c r="A294">
        <v>61</v>
      </c>
      <c r="B294">
        <v>1</v>
      </c>
      <c r="C294">
        <v>2</v>
      </c>
      <c r="D294">
        <v>150</v>
      </c>
      <c r="E294">
        <v>243</v>
      </c>
      <c r="F294">
        <v>1</v>
      </c>
      <c r="G294">
        <v>1</v>
      </c>
      <c r="H294">
        <v>137</v>
      </c>
      <c r="I294">
        <v>1</v>
      </c>
      <c r="J294">
        <v>1</v>
      </c>
      <c r="K294">
        <v>1</v>
      </c>
      <c r="L294">
        <v>0</v>
      </c>
      <c r="M294">
        <v>2</v>
      </c>
      <c r="N294">
        <v>1</v>
      </c>
      <c r="O294" t="str">
        <f t="shared" si="24"/>
        <v>Male</v>
      </c>
      <c r="P294" t="str">
        <f t="shared" si="25"/>
        <v>Heart Disease</v>
      </c>
      <c r="Q294" t="str">
        <f t="shared" si="26"/>
        <v>Non-Anginal Pain</v>
      </c>
      <c r="R294" t="str">
        <f t="shared" si="27"/>
        <v>High</v>
      </c>
      <c r="S294" t="str">
        <f t="shared" si="28"/>
        <v>Yes</v>
      </c>
      <c r="T294" t="str" cm="1">
        <f t="array" ref="T294">_xlfn.IFS(A293&lt;30,"18-29",A293&lt;40,"30-39",A293&lt;50,"40-49",A293&lt;60,"50-59",A293&gt;=60,"60+")</f>
        <v>50-59</v>
      </c>
      <c r="U294" t="str">
        <f t="shared" si="29"/>
        <v>High (Stage 2)</v>
      </c>
    </row>
    <row r="295" spans="1:21">
      <c r="A295">
        <v>59</v>
      </c>
      <c r="B295">
        <v>1</v>
      </c>
      <c r="C295">
        <v>2</v>
      </c>
      <c r="D295">
        <v>150</v>
      </c>
      <c r="E295">
        <v>212</v>
      </c>
      <c r="F295">
        <v>1</v>
      </c>
      <c r="G295">
        <v>1</v>
      </c>
      <c r="H295">
        <v>157</v>
      </c>
      <c r="I295">
        <v>0</v>
      </c>
      <c r="J295">
        <v>1.6</v>
      </c>
      <c r="K295">
        <v>2</v>
      </c>
      <c r="L295">
        <v>0</v>
      </c>
      <c r="M295">
        <v>2</v>
      </c>
      <c r="N295">
        <v>1</v>
      </c>
      <c r="O295" t="str">
        <f t="shared" si="24"/>
        <v>Male</v>
      </c>
      <c r="P295" t="str">
        <f t="shared" si="25"/>
        <v>Heart Disease</v>
      </c>
      <c r="Q295" t="str">
        <f t="shared" si="26"/>
        <v>Non-Anginal Pain</v>
      </c>
      <c r="R295" t="str">
        <f t="shared" si="27"/>
        <v>High</v>
      </c>
      <c r="S295" t="str">
        <f t="shared" si="28"/>
        <v>No</v>
      </c>
      <c r="T295" t="str" cm="1">
        <f t="array" ref="T295">_xlfn.IFS(A294&lt;30,"18-29",A294&lt;40,"30-39",A294&lt;50,"40-49",A294&lt;60,"50-59",A294&gt;=60,"60+")</f>
        <v>60+</v>
      </c>
      <c r="U295" t="str">
        <f t="shared" si="29"/>
        <v>High (Stage 2)</v>
      </c>
    </row>
    <row r="296" spans="1:21">
      <c r="A296">
        <v>56</v>
      </c>
      <c r="B296">
        <v>0</v>
      </c>
      <c r="C296">
        <v>0</v>
      </c>
      <c r="D296">
        <v>200</v>
      </c>
      <c r="E296">
        <v>288</v>
      </c>
      <c r="F296">
        <v>1</v>
      </c>
      <c r="G296">
        <v>0</v>
      </c>
      <c r="H296">
        <v>133</v>
      </c>
      <c r="I296">
        <v>1</v>
      </c>
      <c r="J296">
        <v>4</v>
      </c>
      <c r="K296">
        <v>0</v>
      </c>
      <c r="L296">
        <v>2</v>
      </c>
      <c r="M296">
        <v>3</v>
      </c>
      <c r="N296">
        <v>0</v>
      </c>
      <c r="O296" t="str">
        <f t="shared" si="24"/>
        <v>Female</v>
      </c>
      <c r="P296" t="str">
        <f t="shared" si="25"/>
        <v>No Disease</v>
      </c>
      <c r="Q296" t="str">
        <f t="shared" si="26"/>
        <v>Typical Angina</v>
      </c>
      <c r="R296" t="str">
        <f t="shared" si="27"/>
        <v>High</v>
      </c>
      <c r="S296" t="str">
        <f t="shared" si="28"/>
        <v>Yes</v>
      </c>
      <c r="T296" t="str" cm="1">
        <f t="array" ref="T296">_xlfn.IFS(A295&lt;30,"18-29",A295&lt;40,"30-39",A295&lt;50,"40-49",A295&lt;60,"50-59",A295&gt;=60,"60+")</f>
        <v>50-59</v>
      </c>
      <c r="U296" t="str">
        <f t="shared" si="29"/>
        <v>High (Stage 2)</v>
      </c>
    </row>
    <row r="297" spans="1:21">
      <c r="A297">
        <v>67</v>
      </c>
      <c r="B297">
        <v>1</v>
      </c>
      <c r="C297">
        <v>0</v>
      </c>
      <c r="D297">
        <v>100</v>
      </c>
      <c r="E297">
        <v>299</v>
      </c>
      <c r="F297">
        <v>0</v>
      </c>
      <c r="G297">
        <v>0</v>
      </c>
      <c r="H297">
        <v>125</v>
      </c>
      <c r="I297">
        <v>1</v>
      </c>
      <c r="J297">
        <v>0.9</v>
      </c>
      <c r="K297">
        <v>1</v>
      </c>
      <c r="L297">
        <v>2</v>
      </c>
      <c r="M297">
        <v>2</v>
      </c>
      <c r="N297">
        <v>0</v>
      </c>
      <c r="O297" t="str">
        <f t="shared" si="24"/>
        <v>Male</v>
      </c>
      <c r="P297" t="str">
        <f t="shared" si="25"/>
        <v>No Disease</v>
      </c>
      <c r="Q297" t="str">
        <f t="shared" si="26"/>
        <v>Typical Angina</v>
      </c>
      <c r="R297" t="str">
        <f t="shared" si="27"/>
        <v>Normal</v>
      </c>
      <c r="S297" t="str">
        <f t="shared" si="28"/>
        <v>Yes</v>
      </c>
      <c r="T297" t="str" cm="1">
        <f t="array" ref="T297">_xlfn.IFS(A296&lt;30,"18-29",A296&lt;40,"30-39",A296&lt;50,"40-49",A296&lt;60,"50-59",A296&gt;=60,"60+")</f>
        <v>50-59</v>
      </c>
      <c r="U297" t="str">
        <f t="shared" si="29"/>
        <v>Normal</v>
      </c>
    </row>
    <row r="298" spans="1:21">
      <c r="A298">
        <v>67</v>
      </c>
      <c r="B298">
        <v>1</v>
      </c>
      <c r="C298">
        <v>0</v>
      </c>
      <c r="D298">
        <v>120</v>
      </c>
      <c r="E298">
        <v>237</v>
      </c>
      <c r="F298">
        <v>0</v>
      </c>
      <c r="G298">
        <v>1</v>
      </c>
      <c r="H298">
        <v>71</v>
      </c>
      <c r="I298">
        <v>0</v>
      </c>
      <c r="J298">
        <v>1</v>
      </c>
      <c r="K298">
        <v>1</v>
      </c>
      <c r="L298">
        <v>0</v>
      </c>
      <c r="M298">
        <v>2</v>
      </c>
      <c r="N298">
        <v>0</v>
      </c>
      <c r="O298" t="str">
        <f t="shared" si="24"/>
        <v>Male</v>
      </c>
      <c r="P298" t="str">
        <f t="shared" si="25"/>
        <v>No Disease</v>
      </c>
      <c r="Q298" t="str">
        <f t="shared" si="26"/>
        <v>Typical Angina</v>
      </c>
      <c r="R298" t="str">
        <f t="shared" si="27"/>
        <v>Normal</v>
      </c>
      <c r="S298" t="str">
        <f t="shared" si="28"/>
        <v>No</v>
      </c>
      <c r="T298" t="str" cm="1">
        <f t="array" ref="T298">_xlfn.IFS(A297&lt;30,"18-29",A297&lt;40,"30-39",A297&lt;50,"40-49",A297&lt;60,"50-59",A297&gt;=60,"60+")</f>
        <v>60+</v>
      </c>
      <c r="U298" t="str">
        <f t="shared" si="29"/>
        <v>Elevated</v>
      </c>
    </row>
    <row r="299" spans="1:21">
      <c r="A299">
        <v>58</v>
      </c>
      <c r="B299">
        <v>1</v>
      </c>
      <c r="C299">
        <v>0</v>
      </c>
      <c r="D299">
        <v>150</v>
      </c>
      <c r="E299">
        <v>270</v>
      </c>
      <c r="F299">
        <v>0</v>
      </c>
      <c r="G299">
        <v>0</v>
      </c>
      <c r="H299">
        <v>111</v>
      </c>
      <c r="I299">
        <v>1</v>
      </c>
      <c r="J299">
        <v>0.8</v>
      </c>
      <c r="K299">
        <v>2</v>
      </c>
      <c r="L299">
        <v>0</v>
      </c>
      <c r="M299">
        <v>3</v>
      </c>
      <c r="N299">
        <v>0</v>
      </c>
      <c r="O299" t="str">
        <f t="shared" si="24"/>
        <v>Male</v>
      </c>
      <c r="P299" t="str">
        <f t="shared" si="25"/>
        <v>No Disease</v>
      </c>
      <c r="Q299" t="str">
        <f t="shared" si="26"/>
        <v>Typical Angina</v>
      </c>
      <c r="R299" t="str">
        <f t="shared" si="27"/>
        <v>Normal</v>
      </c>
      <c r="S299" t="str">
        <f t="shared" si="28"/>
        <v>Yes</v>
      </c>
      <c r="T299" t="str" cm="1">
        <f t="array" ref="T299">_xlfn.IFS(A298&lt;30,"18-29",A298&lt;40,"30-39",A298&lt;50,"40-49",A298&lt;60,"50-59",A298&gt;=60,"60+")</f>
        <v>60+</v>
      </c>
      <c r="U299" t="str">
        <f t="shared" si="29"/>
        <v>High (Stage 2)</v>
      </c>
    </row>
    <row r="300" spans="1:21">
      <c r="A300">
        <v>35</v>
      </c>
      <c r="B300">
        <v>1</v>
      </c>
      <c r="C300">
        <v>1</v>
      </c>
      <c r="D300">
        <v>122</v>
      </c>
      <c r="E300">
        <v>192</v>
      </c>
      <c r="F300">
        <v>0</v>
      </c>
      <c r="G300">
        <v>1</v>
      </c>
      <c r="H300">
        <v>174</v>
      </c>
      <c r="I300">
        <v>0</v>
      </c>
      <c r="J300">
        <v>0</v>
      </c>
      <c r="K300">
        <v>2</v>
      </c>
      <c r="L300">
        <v>0</v>
      </c>
      <c r="M300">
        <v>2</v>
      </c>
      <c r="N300">
        <v>1</v>
      </c>
      <c r="O300" t="str">
        <f t="shared" si="24"/>
        <v>Male</v>
      </c>
      <c r="P300" t="str">
        <f t="shared" si="25"/>
        <v>Heart Disease</v>
      </c>
      <c r="Q300" t="str">
        <f t="shared" si="26"/>
        <v>Atypical Angina</v>
      </c>
      <c r="R300" t="str">
        <f t="shared" si="27"/>
        <v>Normal</v>
      </c>
      <c r="S300" t="str">
        <f t="shared" si="28"/>
        <v>No</v>
      </c>
      <c r="T300" t="str" cm="1">
        <f t="array" ref="T300">_xlfn.IFS(A299&lt;30,"18-29",A299&lt;40,"30-39",A299&lt;50,"40-49",A299&lt;60,"50-59",A299&gt;=60,"60+")</f>
        <v>50-59</v>
      </c>
      <c r="U300" t="str">
        <f t="shared" si="29"/>
        <v>Elevated</v>
      </c>
    </row>
    <row r="301" spans="1:21">
      <c r="A301">
        <v>52</v>
      </c>
      <c r="B301">
        <v>1</v>
      </c>
      <c r="C301">
        <v>1</v>
      </c>
      <c r="D301">
        <v>120</v>
      </c>
      <c r="E301">
        <v>325</v>
      </c>
      <c r="F301">
        <v>0</v>
      </c>
      <c r="G301">
        <v>1</v>
      </c>
      <c r="H301">
        <v>172</v>
      </c>
      <c r="I301">
        <v>0</v>
      </c>
      <c r="J301">
        <v>0.2</v>
      </c>
      <c r="K301">
        <v>2</v>
      </c>
      <c r="L301">
        <v>0</v>
      </c>
      <c r="M301">
        <v>2</v>
      </c>
      <c r="N301">
        <v>1</v>
      </c>
      <c r="O301" t="str">
        <f t="shared" si="24"/>
        <v>Male</v>
      </c>
      <c r="P301" t="str">
        <f t="shared" si="25"/>
        <v>Heart Disease</v>
      </c>
      <c r="Q301" t="str">
        <f t="shared" si="26"/>
        <v>Atypical Angina</v>
      </c>
      <c r="R301" t="str">
        <f t="shared" si="27"/>
        <v>Normal</v>
      </c>
      <c r="S301" t="str">
        <f t="shared" si="28"/>
        <v>No</v>
      </c>
      <c r="T301" t="str" cm="1">
        <f t="array" ref="T301">_xlfn.IFS(A300&lt;30,"18-29",A300&lt;40,"30-39",A300&lt;50,"40-49",A300&lt;60,"50-59",A300&gt;=60,"60+")</f>
        <v>30-39</v>
      </c>
      <c r="U301" t="str">
        <f t="shared" si="29"/>
        <v>Elevated</v>
      </c>
    </row>
    <row r="302" spans="1:21">
      <c r="A302">
        <v>46</v>
      </c>
      <c r="B302">
        <v>0</v>
      </c>
      <c r="C302">
        <v>1</v>
      </c>
      <c r="D302">
        <v>105</v>
      </c>
      <c r="E302">
        <v>204</v>
      </c>
      <c r="F302">
        <v>0</v>
      </c>
      <c r="G302">
        <v>1</v>
      </c>
      <c r="H302">
        <v>172</v>
      </c>
      <c r="I302">
        <v>0</v>
      </c>
      <c r="J302">
        <v>0</v>
      </c>
      <c r="K302">
        <v>2</v>
      </c>
      <c r="L302">
        <v>0</v>
      </c>
      <c r="M302">
        <v>2</v>
      </c>
      <c r="N302">
        <v>1</v>
      </c>
      <c r="O302" t="str">
        <f t="shared" si="24"/>
        <v>Female</v>
      </c>
      <c r="P302" t="str">
        <f t="shared" si="25"/>
        <v>Heart Disease</v>
      </c>
      <c r="Q302" t="str">
        <f t="shared" si="26"/>
        <v>Atypical Angina</v>
      </c>
      <c r="R302" t="str">
        <f t="shared" si="27"/>
        <v>Normal</v>
      </c>
      <c r="S302" t="str">
        <f t="shared" si="28"/>
        <v>No</v>
      </c>
      <c r="T302" t="str" cm="1">
        <f t="array" ref="T302">_xlfn.IFS(A301&lt;30,"18-29",A301&lt;40,"30-39",A301&lt;50,"40-49",A301&lt;60,"50-59",A301&gt;=60,"60+")</f>
        <v>50-59</v>
      </c>
      <c r="U302" t="str">
        <f t="shared" si="29"/>
        <v>Normal</v>
      </c>
    </row>
    <row r="303" spans="1:21">
      <c r="A303">
        <v>51</v>
      </c>
      <c r="B303">
        <v>1</v>
      </c>
      <c r="C303">
        <v>2</v>
      </c>
      <c r="D303">
        <v>94</v>
      </c>
      <c r="E303">
        <v>227</v>
      </c>
      <c r="F303">
        <v>0</v>
      </c>
      <c r="G303">
        <v>1</v>
      </c>
      <c r="H303">
        <v>154</v>
      </c>
      <c r="I303">
        <v>1</v>
      </c>
      <c r="J303">
        <v>0</v>
      </c>
      <c r="K303">
        <v>2</v>
      </c>
      <c r="L303">
        <v>1</v>
      </c>
      <c r="M303">
        <v>3</v>
      </c>
      <c r="N303">
        <v>1</v>
      </c>
      <c r="O303" t="str">
        <f t="shared" si="24"/>
        <v>Male</v>
      </c>
      <c r="P303" t="str">
        <f t="shared" si="25"/>
        <v>Heart Disease</v>
      </c>
      <c r="Q303" t="str">
        <f t="shared" si="26"/>
        <v>Non-Anginal Pain</v>
      </c>
      <c r="R303" t="str">
        <f t="shared" si="27"/>
        <v>Normal</v>
      </c>
      <c r="S303" t="str">
        <f t="shared" si="28"/>
        <v>Yes</v>
      </c>
      <c r="T303" t="str" cm="1">
        <f t="array" ref="T303">_xlfn.IFS(A302&lt;30,"18-29",A302&lt;40,"30-39",A302&lt;50,"40-49",A302&lt;60,"50-59",A302&gt;=60,"60+")</f>
        <v>40-49</v>
      </c>
      <c r="U303" t="str">
        <f t="shared" si="29"/>
        <v>Normal</v>
      </c>
    </row>
    <row r="304" spans="1:21">
      <c r="A304">
        <v>55</v>
      </c>
      <c r="B304">
        <v>0</v>
      </c>
      <c r="C304">
        <v>1</v>
      </c>
      <c r="D304">
        <v>132</v>
      </c>
      <c r="E304">
        <v>342</v>
      </c>
      <c r="F304">
        <v>0</v>
      </c>
      <c r="G304">
        <v>1</v>
      </c>
      <c r="H304">
        <v>166</v>
      </c>
      <c r="I304">
        <v>0</v>
      </c>
      <c r="J304">
        <v>1.2</v>
      </c>
      <c r="K304">
        <v>2</v>
      </c>
      <c r="L304">
        <v>0</v>
      </c>
      <c r="M304">
        <v>2</v>
      </c>
      <c r="N304">
        <v>1</v>
      </c>
      <c r="O304" t="str">
        <f t="shared" si="24"/>
        <v>Female</v>
      </c>
      <c r="P304" t="str">
        <f t="shared" si="25"/>
        <v>Heart Disease</v>
      </c>
      <c r="Q304" t="str">
        <f t="shared" si="26"/>
        <v>Atypical Angina</v>
      </c>
      <c r="R304" t="str">
        <f t="shared" si="27"/>
        <v>Normal</v>
      </c>
      <c r="S304" t="str">
        <f t="shared" si="28"/>
        <v>No</v>
      </c>
      <c r="T304" t="str" cm="1">
        <f t="array" ref="T304">_xlfn.IFS(A303&lt;30,"18-29",A303&lt;40,"30-39",A303&lt;50,"40-49",A303&lt;60,"50-59",A303&gt;=60,"60+")</f>
        <v>50-59</v>
      </c>
      <c r="U304" t="str">
        <f t="shared" si="29"/>
        <v>High (Stage 1)</v>
      </c>
    </row>
    <row r="305" spans="1:21">
      <c r="A305">
        <v>60</v>
      </c>
      <c r="B305">
        <v>1</v>
      </c>
      <c r="C305">
        <v>0</v>
      </c>
      <c r="D305">
        <v>145</v>
      </c>
      <c r="E305">
        <v>282</v>
      </c>
      <c r="F305">
        <v>0</v>
      </c>
      <c r="G305">
        <v>0</v>
      </c>
      <c r="H305">
        <v>142</v>
      </c>
      <c r="I305">
        <v>1</v>
      </c>
      <c r="J305">
        <v>2.8</v>
      </c>
      <c r="K305">
        <v>1</v>
      </c>
      <c r="L305">
        <v>2</v>
      </c>
      <c r="M305">
        <v>3</v>
      </c>
      <c r="N305">
        <v>0</v>
      </c>
      <c r="O305" t="str">
        <f t="shared" si="24"/>
        <v>Male</v>
      </c>
      <c r="P305" t="str">
        <f t="shared" si="25"/>
        <v>No Disease</v>
      </c>
      <c r="Q305" t="str">
        <f t="shared" si="26"/>
        <v>Typical Angina</v>
      </c>
      <c r="R305" t="str">
        <f t="shared" si="27"/>
        <v>Normal</v>
      </c>
      <c r="S305" t="str">
        <f t="shared" si="28"/>
        <v>Yes</v>
      </c>
      <c r="T305" t="str" cm="1">
        <f t="array" ref="T305">_xlfn.IFS(A304&lt;30,"18-29",A304&lt;40,"30-39",A304&lt;50,"40-49",A304&lt;60,"50-59",A304&gt;=60,"60+")</f>
        <v>50-59</v>
      </c>
      <c r="U305" t="str">
        <f t="shared" si="29"/>
        <v>High (Stage 2)</v>
      </c>
    </row>
    <row r="306" spans="1:21">
      <c r="A306">
        <v>52</v>
      </c>
      <c r="B306">
        <v>0</v>
      </c>
      <c r="C306">
        <v>2</v>
      </c>
      <c r="D306">
        <v>136</v>
      </c>
      <c r="E306">
        <v>196</v>
      </c>
      <c r="F306">
        <v>0</v>
      </c>
      <c r="G306">
        <v>0</v>
      </c>
      <c r="H306">
        <v>169</v>
      </c>
      <c r="I306">
        <v>0</v>
      </c>
      <c r="J306">
        <v>0.1</v>
      </c>
      <c r="K306">
        <v>1</v>
      </c>
      <c r="L306">
        <v>0</v>
      </c>
      <c r="M306">
        <v>2</v>
      </c>
      <c r="N306">
        <v>1</v>
      </c>
      <c r="O306" t="str">
        <f t="shared" si="24"/>
        <v>Female</v>
      </c>
      <c r="P306" t="str">
        <f t="shared" si="25"/>
        <v>Heart Disease</v>
      </c>
      <c r="Q306" t="str">
        <f t="shared" si="26"/>
        <v>Non-Anginal Pain</v>
      </c>
      <c r="R306" t="str">
        <f t="shared" si="27"/>
        <v>Normal</v>
      </c>
      <c r="S306" t="str">
        <f t="shared" si="28"/>
        <v>No</v>
      </c>
      <c r="T306" t="str" cm="1">
        <f t="array" ref="T306">_xlfn.IFS(A305&lt;30,"18-29",A305&lt;40,"30-39",A305&lt;50,"40-49",A305&lt;60,"50-59",A305&gt;=60,"60+")</f>
        <v>60+</v>
      </c>
      <c r="U306" t="str">
        <f t="shared" si="29"/>
        <v>High (Stage 1)</v>
      </c>
    </row>
    <row r="307" spans="1:21">
      <c r="A307">
        <v>62</v>
      </c>
      <c r="B307">
        <v>1</v>
      </c>
      <c r="C307">
        <v>0</v>
      </c>
      <c r="D307">
        <v>120</v>
      </c>
      <c r="E307">
        <v>267</v>
      </c>
      <c r="F307">
        <v>0</v>
      </c>
      <c r="G307">
        <v>1</v>
      </c>
      <c r="H307">
        <v>99</v>
      </c>
      <c r="I307">
        <v>1</v>
      </c>
      <c r="J307">
        <v>1.8</v>
      </c>
      <c r="K307">
        <v>1</v>
      </c>
      <c r="L307">
        <v>2</v>
      </c>
      <c r="M307">
        <v>3</v>
      </c>
      <c r="N307">
        <v>0</v>
      </c>
      <c r="O307" t="str">
        <f t="shared" si="24"/>
        <v>Male</v>
      </c>
      <c r="P307" t="str">
        <f t="shared" si="25"/>
        <v>No Disease</v>
      </c>
      <c r="Q307" t="str">
        <f t="shared" si="26"/>
        <v>Typical Angina</v>
      </c>
      <c r="R307" t="str">
        <f t="shared" si="27"/>
        <v>Normal</v>
      </c>
      <c r="S307" t="str">
        <f t="shared" si="28"/>
        <v>Yes</v>
      </c>
      <c r="T307" t="str" cm="1">
        <f t="array" ref="T307">_xlfn.IFS(A306&lt;30,"18-29",A306&lt;40,"30-39",A306&lt;50,"40-49",A306&lt;60,"50-59",A306&gt;=60,"60+")</f>
        <v>50-59</v>
      </c>
      <c r="U307" t="str">
        <f t="shared" si="29"/>
        <v>Elevated</v>
      </c>
    </row>
    <row r="308" spans="1:21">
      <c r="A308">
        <v>44</v>
      </c>
      <c r="B308">
        <v>0</v>
      </c>
      <c r="C308">
        <v>2</v>
      </c>
      <c r="D308">
        <v>118</v>
      </c>
      <c r="E308">
        <v>242</v>
      </c>
      <c r="F308">
        <v>0</v>
      </c>
      <c r="G308">
        <v>1</v>
      </c>
      <c r="H308">
        <v>149</v>
      </c>
      <c r="I308">
        <v>0</v>
      </c>
      <c r="J308">
        <v>0.3</v>
      </c>
      <c r="K308">
        <v>1</v>
      </c>
      <c r="L308">
        <v>1</v>
      </c>
      <c r="M308">
        <v>2</v>
      </c>
      <c r="N308">
        <v>1</v>
      </c>
      <c r="O308" t="str">
        <f t="shared" si="24"/>
        <v>Female</v>
      </c>
      <c r="P308" t="str">
        <f t="shared" si="25"/>
        <v>Heart Disease</v>
      </c>
      <c r="Q308" t="str">
        <f t="shared" si="26"/>
        <v>Non-Anginal Pain</v>
      </c>
      <c r="R308" t="str">
        <f t="shared" si="27"/>
        <v>Normal</v>
      </c>
      <c r="S308" t="str">
        <f t="shared" si="28"/>
        <v>No</v>
      </c>
      <c r="T308" t="str" cm="1">
        <f t="array" ref="T308">_xlfn.IFS(A307&lt;30,"18-29",A307&lt;40,"30-39",A307&lt;50,"40-49",A307&lt;60,"50-59",A307&gt;=60,"60+")</f>
        <v>60+</v>
      </c>
      <c r="U308" t="str">
        <f t="shared" si="29"/>
        <v>Normal</v>
      </c>
    </row>
    <row r="309" spans="1:21">
      <c r="A309">
        <v>44</v>
      </c>
      <c r="B309">
        <v>1</v>
      </c>
      <c r="C309">
        <v>1</v>
      </c>
      <c r="D309">
        <v>120</v>
      </c>
      <c r="E309">
        <v>220</v>
      </c>
      <c r="F309">
        <v>0</v>
      </c>
      <c r="G309">
        <v>1</v>
      </c>
      <c r="H309">
        <v>170</v>
      </c>
      <c r="I309">
        <v>0</v>
      </c>
      <c r="J309">
        <v>0</v>
      </c>
      <c r="K309">
        <v>2</v>
      </c>
      <c r="L309">
        <v>0</v>
      </c>
      <c r="M309">
        <v>2</v>
      </c>
      <c r="N309">
        <v>1</v>
      </c>
      <c r="O309" t="str">
        <f t="shared" si="24"/>
        <v>Male</v>
      </c>
      <c r="P309" t="str">
        <f t="shared" si="25"/>
        <v>Heart Disease</v>
      </c>
      <c r="Q309" t="str">
        <f t="shared" si="26"/>
        <v>Atypical Angina</v>
      </c>
      <c r="R309" t="str">
        <f t="shared" si="27"/>
        <v>Normal</v>
      </c>
      <c r="S309" t="str">
        <f t="shared" si="28"/>
        <v>No</v>
      </c>
      <c r="T309" t="str" cm="1">
        <f t="array" ref="T309">_xlfn.IFS(A308&lt;30,"18-29",A308&lt;40,"30-39",A308&lt;50,"40-49",A308&lt;60,"50-59",A308&gt;=60,"60+")</f>
        <v>40-49</v>
      </c>
      <c r="U309" t="str">
        <f t="shared" si="29"/>
        <v>Elevated</v>
      </c>
    </row>
    <row r="310" spans="1:21">
      <c r="A310">
        <v>59</v>
      </c>
      <c r="B310">
        <v>1</v>
      </c>
      <c r="C310">
        <v>2</v>
      </c>
      <c r="D310">
        <v>126</v>
      </c>
      <c r="E310">
        <v>218</v>
      </c>
      <c r="F310">
        <v>1</v>
      </c>
      <c r="G310">
        <v>1</v>
      </c>
      <c r="H310">
        <v>134</v>
      </c>
      <c r="I310">
        <v>0</v>
      </c>
      <c r="J310">
        <v>2.2000000000000002</v>
      </c>
      <c r="K310">
        <v>1</v>
      </c>
      <c r="L310">
        <v>1</v>
      </c>
      <c r="M310">
        <v>1</v>
      </c>
      <c r="N310">
        <v>0</v>
      </c>
      <c r="O310" t="str">
        <f t="shared" si="24"/>
        <v>Male</v>
      </c>
      <c r="P310" t="str">
        <f t="shared" si="25"/>
        <v>No Disease</v>
      </c>
      <c r="Q310" t="str">
        <f t="shared" si="26"/>
        <v>Non-Anginal Pain</v>
      </c>
      <c r="R310" t="str">
        <f t="shared" si="27"/>
        <v>High</v>
      </c>
      <c r="S310" t="str">
        <f t="shared" si="28"/>
        <v>No</v>
      </c>
      <c r="T310" t="str" cm="1">
        <f t="array" ref="T310">_xlfn.IFS(A309&lt;30,"18-29",A309&lt;40,"30-39",A309&lt;50,"40-49",A309&lt;60,"50-59",A309&gt;=60,"60+")</f>
        <v>40-49</v>
      </c>
      <c r="U310" t="str">
        <f t="shared" si="29"/>
        <v>Elevated</v>
      </c>
    </row>
    <row r="311" spans="1:21">
      <c r="A311">
        <v>56</v>
      </c>
      <c r="B311">
        <v>0</v>
      </c>
      <c r="C311">
        <v>1</v>
      </c>
      <c r="D311">
        <v>140</v>
      </c>
      <c r="E311">
        <v>294</v>
      </c>
      <c r="F311">
        <v>0</v>
      </c>
      <c r="G311">
        <v>0</v>
      </c>
      <c r="H311">
        <v>153</v>
      </c>
      <c r="I311">
        <v>0</v>
      </c>
      <c r="J311">
        <v>1.3</v>
      </c>
      <c r="K311">
        <v>1</v>
      </c>
      <c r="L311">
        <v>0</v>
      </c>
      <c r="M311">
        <v>2</v>
      </c>
      <c r="N311">
        <v>1</v>
      </c>
      <c r="O311" t="str">
        <f t="shared" si="24"/>
        <v>Female</v>
      </c>
      <c r="P311" t="str">
        <f t="shared" si="25"/>
        <v>Heart Disease</v>
      </c>
      <c r="Q311" t="str">
        <f t="shared" si="26"/>
        <v>Atypical Angina</v>
      </c>
      <c r="R311" t="str">
        <f t="shared" si="27"/>
        <v>Normal</v>
      </c>
      <c r="S311" t="str">
        <f t="shared" si="28"/>
        <v>No</v>
      </c>
      <c r="T311" t="str" cm="1">
        <f t="array" ref="T311">_xlfn.IFS(A310&lt;30,"18-29",A310&lt;40,"30-39",A310&lt;50,"40-49",A310&lt;60,"50-59",A310&gt;=60,"60+")</f>
        <v>50-59</v>
      </c>
      <c r="U311" t="str">
        <f t="shared" si="29"/>
        <v>High (Stage 2)</v>
      </c>
    </row>
    <row r="312" spans="1:21">
      <c r="A312">
        <v>61</v>
      </c>
      <c r="B312">
        <v>1</v>
      </c>
      <c r="C312">
        <v>0</v>
      </c>
      <c r="D312">
        <v>120</v>
      </c>
      <c r="E312">
        <v>260</v>
      </c>
      <c r="F312">
        <v>0</v>
      </c>
      <c r="G312">
        <v>1</v>
      </c>
      <c r="H312">
        <v>140</v>
      </c>
      <c r="I312">
        <v>1</v>
      </c>
      <c r="J312">
        <v>3.6</v>
      </c>
      <c r="K312">
        <v>1</v>
      </c>
      <c r="L312">
        <v>1</v>
      </c>
      <c r="M312">
        <v>3</v>
      </c>
      <c r="N312">
        <v>0</v>
      </c>
      <c r="O312" t="str">
        <f t="shared" si="24"/>
        <v>Male</v>
      </c>
      <c r="P312" t="str">
        <f t="shared" si="25"/>
        <v>No Disease</v>
      </c>
      <c r="Q312" t="str">
        <f t="shared" si="26"/>
        <v>Typical Angina</v>
      </c>
      <c r="R312" t="str">
        <f t="shared" si="27"/>
        <v>Normal</v>
      </c>
      <c r="S312" t="str">
        <f t="shared" si="28"/>
        <v>Yes</v>
      </c>
      <c r="T312" t="str" cm="1">
        <f t="array" ref="T312">_xlfn.IFS(A311&lt;30,"18-29",A311&lt;40,"30-39",A311&lt;50,"40-49",A311&lt;60,"50-59",A311&gt;=60,"60+")</f>
        <v>50-59</v>
      </c>
      <c r="U312" t="str">
        <f t="shared" si="29"/>
        <v>Elevated</v>
      </c>
    </row>
    <row r="313" spans="1:21">
      <c r="A313">
        <v>48</v>
      </c>
      <c r="B313">
        <v>1</v>
      </c>
      <c r="C313">
        <v>0</v>
      </c>
      <c r="D313">
        <v>130</v>
      </c>
      <c r="E313">
        <v>256</v>
      </c>
      <c r="F313">
        <v>1</v>
      </c>
      <c r="G313">
        <v>0</v>
      </c>
      <c r="H313">
        <v>150</v>
      </c>
      <c r="I313">
        <v>1</v>
      </c>
      <c r="J313">
        <v>0</v>
      </c>
      <c r="K313">
        <v>2</v>
      </c>
      <c r="L313">
        <v>2</v>
      </c>
      <c r="M313">
        <v>3</v>
      </c>
      <c r="N313">
        <v>0</v>
      </c>
      <c r="O313" t="str">
        <f t="shared" si="24"/>
        <v>Male</v>
      </c>
      <c r="P313" t="str">
        <f t="shared" si="25"/>
        <v>No Disease</v>
      </c>
      <c r="Q313" t="str">
        <f t="shared" si="26"/>
        <v>Typical Angina</v>
      </c>
      <c r="R313" t="str">
        <f t="shared" si="27"/>
        <v>High</v>
      </c>
      <c r="S313" t="str">
        <f t="shared" si="28"/>
        <v>Yes</v>
      </c>
      <c r="T313" t="str" cm="1">
        <f t="array" ref="T313">_xlfn.IFS(A312&lt;30,"18-29",A312&lt;40,"30-39",A312&lt;50,"40-49",A312&lt;60,"50-59",A312&gt;=60,"60+")</f>
        <v>60+</v>
      </c>
      <c r="U313" t="str">
        <f t="shared" si="29"/>
        <v>High (Stage 1)</v>
      </c>
    </row>
    <row r="314" spans="1:21">
      <c r="A314">
        <v>70</v>
      </c>
      <c r="B314">
        <v>1</v>
      </c>
      <c r="C314">
        <v>2</v>
      </c>
      <c r="D314">
        <v>160</v>
      </c>
      <c r="E314">
        <v>269</v>
      </c>
      <c r="F314">
        <v>0</v>
      </c>
      <c r="G314">
        <v>1</v>
      </c>
      <c r="H314">
        <v>112</v>
      </c>
      <c r="I314">
        <v>1</v>
      </c>
      <c r="J314">
        <v>2.9</v>
      </c>
      <c r="K314">
        <v>1</v>
      </c>
      <c r="L314">
        <v>1</v>
      </c>
      <c r="M314">
        <v>3</v>
      </c>
      <c r="N314">
        <v>0</v>
      </c>
      <c r="O314" t="str">
        <f t="shared" si="24"/>
        <v>Male</v>
      </c>
      <c r="P314" t="str">
        <f t="shared" si="25"/>
        <v>No Disease</v>
      </c>
      <c r="Q314" t="str">
        <f t="shared" si="26"/>
        <v>Non-Anginal Pain</v>
      </c>
      <c r="R314" t="str">
        <f t="shared" si="27"/>
        <v>Normal</v>
      </c>
      <c r="S314" t="str">
        <f t="shared" si="28"/>
        <v>Yes</v>
      </c>
      <c r="T314" t="str" cm="1">
        <f t="array" ref="T314">_xlfn.IFS(A313&lt;30,"18-29",A313&lt;40,"30-39",A313&lt;50,"40-49",A313&lt;60,"50-59",A313&gt;=60,"60+")</f>
        <v>40-49</v>
      </c>
      <c r="U314" t="str">
        <f t="shared" si="29"/>
        <v>High (Stage 2)</v>
      </c>
    </row>
    <row r="315" spans="1:21">
      <c r="A315">
        <v>74</v>
      </c>
      <c r="B315">
        <v>0</v>
      </c>
      <c r="C315">
        <v>1</v>
      </c>
      <c r="D315">
        <v>120</v>
      </c>
      <c r="E315">
        <v>269</v>
      </c>
      <c r="F315">
        <v>0</v>
      </c>
      <c r="G315">
        <v>0</v>
      </c>
      <c r="H315">
        <v>121</v>
      </c>
      <c r="I315">
        <v>1</v>
      </c>
      <c r="J315">
        <v>0.2</v>
      </c>
      <c r="K315">
        <v>2</v>
      </c>
      <c r="L315">
        <v>1</v>
      </c>
      <c r="M315">
        <v>2</v>
      </c>
      <c r="N315">
        <v>1</v>
      </c>
      <c r="O315" t="str">
        <f t="shared" si="24"/>
        <v>Female</v>
      </c>
      <c r="P315" t="str">
        <f t="shared" si="25"/>
        <v>Heart Disease</v>
      </c>
      <c r="Q315" t="str">
        <f t="shared" si="26"/>
        <v>Atypical Angina</v>
      </c>
      <c r="R315" t="str">
        <f t="shared" si="27"/>
        <v>Normal</v>
      </c>
      <c r="S315" t="str">
        <f t="shared" si="28"/>
        <v>Yes</v>
      </c>
      <c r="T315" t="str" cm="1">
        <f t="array" ref="T315">_xlfn.IFS(A314&lt;30,"18-29",A314&lt;40,"30-39",A314&lt;50,"40-49",A314&lt;60,"50-59",A314&gt;=60,"60+")</f>
        <v>60+</v>
      </c>
      <c r="U315" t="str">
        <f t="shared" si="29"/>
        <v>Elevated</v>
      </c>
    </row>
    <row r="316" spans="1:21">
      <c r="A316">
        <v>40</v>
      </c>
      <c r="B316">
        <v>1</v>
      </c>
      <c r="C316">
        <v>3</v>
      </c>
      <c r="D316">
        <v>140</v>
      </c>
      <c r="E316">
        <v>199</v>
      </c>
      <c r="F316">
        <v>0</v>
      </c>
      <c r="G316">
        <v>1</v>
      </c>
      <c r="H316">
        <v>178</v>
      </c>
      <c r="I316">
        <v>1</v>
      </c>
      <c r="J316">
        <v>1.4</v>
      </c>
      <c r="K316">
        <v>2</v>
      </c>
      <c r="L316">
        <v>0</v>
      </c>
      <c r="M316">
        <v>3</v>
      </c>
      <c r="N316">
        <v>1</v>
      </c>
      <c r="O316" t="str">
        <f t="shared" si="24"/>
        <v>Male</v>
      </c>
      <c r="P316" t="str">
        <f t="shared" si="25"/>
        <v>Heart Disease</v>
      </c>
      <c r="Q316" t="str">
        <f t="shared" si="26"/>
        <v>Asymptomatic</v>
      </c>
      <c r="R316" t="str">
        <f t="shared" si="27"/>
        <v>Normal</v>
      </c>
      <c r="S316" t="str">
        <f t="shared" si="28"/>
        <v>Yes</v>
      </c>
      <c r="T316" t="str" cm="1">
        <f t="array" ref="T316">_xlfn.IFS(A315&lt;30,"18-29",A315&lt;40,"30-39",A315&lt;50,"40-49",A315&lt;60,"50-59",A315&gt;=60,"60+")</f>
        <v>60+</v>
      </c>
      <c r="U316" t="str">
        <f t="shared" si="29"/>
        <v>High (Stage 2)</v>
      </c>
    </row>
    <row r="317" spans="1:21">
      <c r="A317">
        <v>42</v>
      </c>
      <c r="B317">
        <v>1</v>
      </c>
      <c r="C317">
        <v>3</v>
      </c>
      <c r="D317">
        <v>148</v>
      </c>
      <c r="E317">
        <v>244</v>
      </c>
      <c r="F317">
        <v>0</v>
      </c>
      <c r="G317">
        <v>0</v>
      </c>
      <c r="H317">
        <v>178</v>
      </c>
      <c r="I317">
        <v>0</v>
      </c>
      <c r="J317">
        <v>0.8</v>
      </c>
      <c r="K317">
        <v>2</v>
      </c>
      <c r="L317">
        <v>2</v>
      </c>
      <c r="M317">
        <v>2</v>
      </c>
      <c r="N317">
        <v>1</v>
      </c>
      <c r="O317" t="str">
        <f t="shared" si="24"/>
        <v>Male</v>
      </c>
      <c r="P317" t="str">
        <f t="shared" si="25"/>
        <v>Heart Disease</v>
      </c>
      <c r="Q317" t="str">
        <f t="shared" si="26"/>
        <v>Asymptomatic</v>
      </c>
      <c r="R317" t="str">
        <f t="shared" si="27"/>
        <v>Normal</v>
      </c>
      <c r="S317" t="str">
        <f t="shared" si="28"/>
        <v>No</v>
      </c>
      <c r="T317" t="str" cm="1">
        <f t="array" ref="T317">_xlfn.IFS(A316&lt;30,"18-29",A316&lt;40,"30-39",A316&lt;50,"40-49",A316&lt;60,"50-59",A316&gt;=60,"60+")</f>
        <v>40-49</v>
      </c>
      <c r="U317" t="str">
        <f t="shared" si="29"/>
        <v>High (Stage 2)</v>
      </c>
    </row>
    <row r="318" spans="1:21">
      <c r="A318">
        <v>64</v>
      </c>
      <c r="B318">
        <v>0</v>
      </c>
      <c r="C318">
        <v>2</v>
      </c>
      <c r="D318">
        <v>140</v>
      </c>
      <c r="E318">
        <v>313</v>
      </c>
      <c r="F318">
        <v>0</v>
      </c>
      <c r="G318">
        <v>1</v>
      </c>
      <c r="H318">
        <v>133</v>
      </c>
      <c r="I318">
        <v>0</v>
      </c>
      <c r="J318">
        <v>0.2</v>
      </c>
      <c r="K318">
        <v>2</v>
      </c>
      <c r="L318">
        <v>0</v>
      </c>
      <c r="M318">
        <v>3</v>
      </c>
      <c r="N318">
        <v>1</v>
      </c>
      <c r="O318" t="str">
        <f t="shared" si="24"/>
        <v>Female</v>
      </c>
      <c r="P318" t="str">
        <f t="shared" si="25"/>
        <v>Heart Disease</v>
      </c>
      <c r="Q318" t="str">
        <f t="shared" si="26"/>
        <v>Non-Anginal Pain</v>
      </c>
      <c r="R318" t="str">
        <f t="shared" si="27"/>
        <v>Normal</v>
      </c>
      <c r="S318" t="str">
        <f t="shared" si="28"/>
        <v>No</v>
      </c>
      <c r="T318" t="str" cm="1">
        <f t="array" ref="T318">_xlfn.IFS(A317&lt;30,"18-29",A317&lt;40,"30-39",A317&lt;50,"40-49",A317&lt;60,"50-59",A317&gt;=60,"60+")</f>
        <v>40-49</v>
      </c>
      <c r="U318" t="str">
        <f t="shared" si="29"/>
        <v>High (Stage 2)</v>
      </c>
    </row>
    <row r="319" spans="1:21">
      <c r="A319">
        <v>63</v>
      </c>
      <c r="B319">
        <v>0</v>
      </c>
      <c r="C319">
        <v>2</v>
      </c>
      <c r="D319">
        <v>135</v>
      </c>
      <c r="E319">
        <v>252</v>
      </c>
      <c r="F319">
        <v>0</v>
      </c>
      <c r="G319">
        <v>0</v>
      </c>
      <c r="H319">
        <v>172</v>
      </c>
      <c r="I319">
        <v>0</v>
      </c>
      <c r="J319">
        <v>0</v>
      </c>
      <c r="K319">
        <v>2</v>
      </c>
      <c r="L319">
        <v>0</v>
      </c>
      <c r="M319">
        <v>2</v>
      </c>
      <c r="N319">
        <v>1</v>
      </c>
      <c r="O319" t="str">
        <f t="shared" si="24"/>
        <v>Female</v>
      </c>
      <c r="P319" t="str">
        <f t="shared" si="25"/>
        <v>Heart Disease</v>
      </c>
      <c r="Q319" t="str">
        <f t="shared" si="26"/>
        <v>Non-Anginal Pain</v>
      </c>
      <c r="R319" t="str">
        <f t="shared" si="27"/>
        <v>Normal</v>
      </c>
      <c r="S319" t="str">
        <f t="shared" si="28"/>
        <v>No</v>
      </c>
      <c r="T319" t="str" cm="1">
        <f t="array" ref="T319">_xlfn.IFS(A318&lt;30,"18-29",A318&lt;40,"30-39",A318&lt;50,"40-49",A318&lt;60,"50-59",A318&gt;=60,"60+")</f>
        <v>60+</v>
      </c>
      <c r="U319" t="str">
        <f t="shared" si="29"/>
        <v>High (Stage 1)</v>
      </c>
    </row>
    <row r="320" spans="1:21">
      <c r="A320">
        <v>59</v>
      </c>
      <c r="B320">
        <v>1</v>
      </c>
      <c r="C320">
        <v>0</v>
      </c>
      <c r="D320">
        <v>140</v>
      </c>
      <c r="E320">
        <v>177</v>
      </c>
      <c r="F320">
        <v>0</v>
      </c>
      <c r="G320">
        <v>1</v>
      </c>
      <c r="H320">
        <v>162</v>
      </c>
      <c r="I320">
        <v>1</v>
      </c>
      <c r="J320">
        <v>0</v>
      </c>
      <c r="K320">
        <v>2</v>
      </c>
      <c r="L320">
        <v>1</v>
      </c>
      <c r="M320">
        <v>3</v>
      </c>
      <c r="N320">
        <v>0</v>
      </c>
      <c r="O320" t="str">
        <f t="shared" si="24"/>
        <v>Male</v>
      </c>
      <c r="P320" t="str">
        <f t="shared" si="25"/>
        <v>No Disease</v>
      </c>
      <c r="Q320" t="str">
        <f t="shared" si="26"/>
        <v>Typical Angina</v>
      </c>
      <c r="R320" t="str">
        <f t="shared" si="27"/>
        <v>Normal</v>
      </c>
      <c r="S320" t="str">
        <f t="shared" si="28"/>
        <v>Yes</v>
      </c>
      <c r="T320" t="str" cm="1">
        <f t="array" ref="T320">_xlfn.IFS(A319&lt;30,"18-29",A319&lt;40,"30-39",A319&lt;50,"40-49",A319&lt;60,"50-59",A319&gt;=60,"60+")</f>
        <v>60+</v>
      </c>
      <c r="U320" t="str">
        <f t="shared" si="29"/>
        <v>High (Stage 2)</v>
      </c>
    </row>
    <row r="321" spans="1:21">
      <c r="A321">
        <v>53</v>
      </c>
      <c r="B321">
        <v>0</v>
      </c>
      <c r="C321">
        <v>2</v>
      </c>
      <c r="D321">
        <v>128</v>
      </c>
      <c r="E321">
        <v>216</v>
      </c>
      <c r="F321">
        <v>0</v>
      </c>
      <c r="G321">
        <v>0</v>
      </c>
      <c r="H321">
        <v>115</v>
      </c>
      <c r="I321">
        <v>0</v>
      </c>
      <c r="J321">
        <v>0</v>
      </c>
      <c r="K321">
        <v>2</v>
      </c>
      <c r="L321">
        <v>0</v>
      </c>
      <c r="M321">
        <v>0</v>
      </c>
      <c r="N321">
        <v>1</v>
      </c>
      <c r="O321" t="str">
        <f t="shared" si="24"/>
        <v>Female</v>
      </c>
      <c r="P321" t="str">
        <f t="shared" si="25"/>
        <v>Heart Disease</v>
      </c>
      <c r="Q321" t="str">
        <f t="shared" si="26"/>
        <v>Non-Anginal Pain</v>
      </c>
      <c r="R321" t="str">
        <f t="shared" si="27"/>
        <v>Normal</v>
      </c>
      <c r="S321" t="str">
        <f t="shared" si="28"/>
        <v>No</v>
      </c>
      <c r="T321" t="str" cm="1">
        <f t="array" ref="T321">_xlfn.IFS(A320&lt;30,"18-29",A320&lt;40,"30-39",A320&lt;50,"40-49",A320&lt;60,"50-59",A320&gt;=60,"60+")</f>
        <v>50-59</v>
      </c>
      <c r="U321" t="str">
        <f t="shared" si="29"/>
        <v>Elevated</v>
      </c>
    </row>
    <row r="322" spans="1:21">
      <c r="A322">
        <v>53</v>
      </c>
      <c r="B322">
        <v>0</v>
      </c>
      <c r="C322">
        <v>0</v>
      </c>
      <c r="D322">
        <v>130</v>
      </c>
      <c r="E322">
        <v>264</v>
      </c>
      <c r="F322">
        <v>0</v>
      </c>
      <c r="G322">
        <v>0</v>
      </c>
      <c r="H322">
        <v>143</v>
      </c>
      <c r="I322">
        <v>0</v>
      </c>
      <c r="J322">
        <v>0.4</v>
      </c>
      <c r="K322">
        <v>1</v>
      </c>
      <c r="L322">
        <v>0</v>
      </c>
      <c r="M322">
        <v>2</v>
      </c>
      <c r="N322">
        <v>1</v>
      </c>
      <c r="O322" t="str">
        <f t="shared" ref="O322:O385" si="30">IF(B322=1,"Male","Female")</f>
        <v>Female</v>
      </c>
      <c r="P322" t="str">
        <f t="shared" ref="P322:P385" si="31">IF(N322=1,"Heart Disease","No Disease")</f>
        <v>Heart Disease</v>
      </c>
      <c r="Q322" t="str">
        <f t="shared" ref="Q322:Q385" si="32">IF(C322=0,"Typical Angina",IF(C322=1,"Atypical Angina",IF(C322=2,"Non-Anginal Pain","Asymptomatic")))</f>
        <v>Typical Angina</v>
      </c>
      <c r="R322" t="str">
        <f t="shared" ref="R322:R385" si="33">IF(F322=1,"High","Normal")</f>
        <v>Normal</v>
      </c>
      <c r="S322" t="str">
        <f t="shared" ref="S322:S385" si="34">IF(I322=1,"Yes","No")</f>
        <v>No</v>
      </c>
      <c r="T322" t="str" cm="1">
        <f t="array" ref="T322">_xlfn.IFS(A321&lt;30,"18-29",A321&lt;40,"30-39",A321&lt;50,"40-49",A321&lt;60,"50-59",A321&gt;=60,"60+")</f>
        <v>50-59</v>
      </c>
      <c r="U322" t="str">
        <f t="shared" ref="U322:U385" si="35">IF(D322&lt;120,"Normal",IF(D322&lt;130,"Elevated",IF(D322&lt;140,"High (Stage 1)","High (Stage 2)")))</f>
        <v>High (Stage 1)</v>
      </c>
    </row>
    <row r="323" spans="1:21">
      <c r="A323">
        <v>48</v>
      </c>
      <c r="B323">
        <v>0</v>
      </c>
      <c r="C323">
        <v>2</v>
      </c>
      <c r="D323">
        <v>130</v>
      </c>
      <c r="E323">
        <v>275</v>
      </c>
      <c r="F323">
        <v>0</v>
      </c>
      <c r="G323">
        <v>1</v>
      </c>
      <c r="H323">
        <v>139</v>
      </c>
      <c r="I323">
        <v>0</v>
      </c>
      <c r="J323">
        <v>0.2</v>
      </c>
      <c r="K323">
        <v>2</v>
      </c>
      <c r="L323">
        <v>0</v>
      </c>
      <c r="M323">
        <v>2</v>
      </c>
      <c r="N323">
        <v>1</v>
      </c>
      <c r="O323" t="str">
        <f t="shared" si="30"/>
        <v>Female</v>
      </c>
      <c r="P323" t="str">
        <f t="shared" si="31"/>
        <v>Heart Disease</v>
      </c>
      <c r="Q323" t="str">
        <f t="shared" si="32"/>
        <v>Non-Anginal Pain</v>
      </c>
      <c r="R323" t="str">
        <f t="shared" si="33"/>
        <v>Normal</v>
      </c>
      <c r="S323" t="str">
        <f t="shared" si="34"/>
        <v>No</v>
      </c>
      <c r="T323" t="str" cm="1">
        <f t="array" ref="T323">_xlfn.IFS(A322&lt;30,"18-29",A322&lt;40,"30-39",A322&lt;50,"40-49",A322&lt;60,"50-59",A322&gt;=60,"60+")</f>
        <v>50-59</v>
      </c>
      <c r="U323" t="str">
        <f t="shared" si="35"/>
        <v>High (Stage 1)</v>
      </c>
    </row>
    <row r="324" spans="1:21">
      <c r="A324">
        <v>45</v>
      </c>
      <c r="B324">
        <v>1</v>
      </c>
      <c r="C324">
        <v>0</v>
      </c>
      <c r="D324">
        <v>142</v>
      </c>
      <c r="E324">
        <v>309</v>
      </c>
      <c r="F324">
        <v>0</v>
      </c>
      <c r="G324">
        <v>0</v>
      </c>
      <c r="H324">
        <v>147</v>
      </c>
      <c r="I324">
        <v>1</v>
      </c>
      <c r="J324">
        <v>0</v>
      </c>
      <c r="K324">
        <v>1</v>
      </c>
      <c r="L324">
        <v>3</v>
      </c>
      <c r="M324">
        <v>3</v>
      </c>
      <c r="N324">
        <v>0</v>
      </c>
      <c r="O324" t="str">
        <f t="shared" si="30"/>
        <v>Male</v>
      </c>
      <c r="P324" t="str">
        <f t="shared" si="31"/>
        <v>No Disease</v>
      </c>
      <c r="Q324" t="str">
        <f t="shared" si="32"/>
        <v>Typical Angina</v>
      </c>
      <c r="R324" t="str">
        <f t="shared" si="33"/>
        <v>Normal</v>
      </c>
      <c r="S324" t="str">
        <f t="shared" si="34"/>
        <v>Yes</v>
      </c>
      <c r="T324" t="str" cm="1">
        <f t="array" ref="T324">_xlfn.IFS(A323&lt;30,"18-29",A323&lt;40,"30-39",A323&lt;50,"40-49",A323&lt;60,"50-59",A323&gt;=60,"60+")</f>
        <v>40-49</v>
      </c>
      <c r="U324" t="str">
        <f t="shared" si="35"/>
        <v>High (Stage 2)</v>
      </c>
    </row>
    <row r="325" spans="1:21">
      <c r="A325">
        <v>66</v>
      </c>
      <c r="B325">
        <v>1</v>
      </c>
      <c r="C325">
        <v>1</v>
      </c>
      <c r="D325">
        <v>160</v>
      </c>
      <c r="E325">
        <v>246</v>
      </c>
      <c r="F325">
        <v>0</v>
      </c>
      <c r="G325">
        <v>1</v>
      </c>
      <c r="H325">
        <v>120</v>
      </c>
      <c r="I325">
        <v>1</v>
      </c>
      <c r="J325">
        <v>0</v>
      </c>
      <c r="K325">
        <v>1</v>
      </c>
      <c r="L325">
        <v>3</v>
      </c>
      <c r="M325">
        <v>1</v>
      </c>
      <c r="N325">
        <v>0</v>
      </c>
      <c r="O325" t="str">
        <f t="shared" si="30"/>
        <v>Male</v>
      </c>
      <c r="P325" t="str">
        <f t="shared" si="31"/>
        <v>No Disease</v>
      </c>
      <c r="Q325" t="str">
        <f t="shared" si="32"/>
        <v>Atypical Angina</v>
      </c>
      <c r="R325" t="str">
        <f t="shared" si="33"/>
        <v>Normal</v>
      </c>
      <c r="S325" t="str">
        <f t="shared" si="34"/>
        <v>Yes</v>
      </c>
      <c r="T325" t="str" cm="1">
        <f t="array" ref="T325">_xlfn.IFS(A324&lt;30,"18-29",A324&lt;40,"30-39",A324&lt;50,"40-49",A324&lt;60,"50-59",A324&gt;=60,"60+")</f>
        <v>40-49</v>
      </c>
      <c r="U325" t="str">
        <f t="shared" si="35"/>
        <v>High (Stage 2)</v>
      </c>
    </row>
    <row r="326" spans="1:21">
      <c r="A326">
        <v>48</v>
      </c>
      <c r="B326">
        <v>1</v>
      </c>
      <c r="C326">
        <v>1</v>
      </c>
      <c r="D326">
        <v>130</v>
      </c>
      <c r="E326">
        <v>245</v>
      </c>
      <c r="F326">
        <v>0</v>
      </c>
      <c r="G326">
        <v>0</v>
      </c>
      <c r="H326">
        <v>180</v>
      </c>
      <c r="I326">
        <v>0</v>
      </c>
      <c r="J326">
        <v>0.2</v>
      </c>
      <c r="K326">
        <v>1</v>
      </c>
      <c r="L326">
        <v>0</v>
      </c>
      <c r="M326">
        <v>2</v>
      </c>
      <c r="N326">
        <v>1</v>
      </c>
      <c r="O326" t="str">
        <f t="shared" si="30"/>
        <v>Male</v>
      </c>
      <c r="P326" t="str">
        <f t="shared" si="31"/>
        <v>Heart Disease</v>
      </c>
      <c r="Q326" t="str">
        <f t="shared" si="32"/>
        <v>Atypical Angina</v>
      </c>
      <c r="R326" t="str">
        <f t="shared" si="33"/>
        <v>Normal</v>
      </c>
      <c r="S326" t="str">
        <f t="shared" si="34"/>
        <v>No</v>
      </c>
      <c r="T326" t="str" cm="1">
        <f t="array" ref="T326">_xlfn.IFS(A325&lt;30,"18-29",A325&lt;40,"30-39",A325&lt;50,"40-49",A325&lt;60,"50-59",A325&gt;=60,"60+")</f>
        <v>60+</v>
      </c>
      <c r="U326" t="str">
        <f t="shared" si="35"/>
        <v>High (Stage 1)</v>
      </c>
    </row>
    <row r="327" spans="1:21">
      <c r="A327">
        <v>56</v>
      </c>
      <c r="B327">
        <v>0</v>
      </c>
      <c r="C327">
        <v>1</v>
      </c>
      <c r="D327">
        <v>140</v>
      </c>
      <c r="E327">
        <v>294</v>
      </c>
      <c r="F327">
        <v>0</v>
      </c>
      <c r="G327">
        <v>0</v>
      </c>
      <c r="H327">
        <v>153</v>
      </c>
      <c r="I327">
        <v>0</v>
      </c>
      <c r="J327">
        <v>1.3</v>
      </c>
      <c r="K327">
        <v>1</v>
      </c>
      <c r="L327">
        <v>0</v>
      </c>
      <c r="M327">
        <v>2</v>
      </c>
      <c r="N327">
        <v>1</v>
      </c>
      <c r="O327" t="str">
        <f t="shared" si="30"/>
        <v>Female</v>
      </c>
      <c r="P327" t="str">
        <f t="shared" si="31"/>
        <v>Heart Disease</v>
      </c>
      <c r="Q327" t="str">
        <f t="shared" si="32"/>
        <v>Atypical Angina</v>
      </c>
      <c r="R327" t="str">
        <f t="shared" si="33"/>
        <v>Normal</v>
      </c>
      <c r="S327" t="str">
        <f t="shared" si="34"/>
        <v>No</v>
      </c>
      <c r="T327" t="str" cm="1">
        <f t="array" ref="T327">_xlfn.IFS(A326&lt;30,"18-29",A326&lt;40,"30-39",A326&lt;50,"40-49",A326&lt;60,"50-59",A326&gt;=60,"60+")</f>
        <v>40-49</v>
      </c>
      <c r="U327" t="str">
        <f t="shared" si="35"/>
        <v>High (Stage 2)</v>
      </c>
    </row>
    <row r="328" spans="1:21">
      <c r="A328">
        <v>54</v>
      </c>
      <c r="B328">
        <v>1</v>
      </c>
      <c r="C328">
        <v>1</v>
      </c>
      <c r="D328">
        <v>192</v>
      </c>
      <c r="E328">
        <v>283</v>
      </c>
      <c r="F328">
        <v>0</v>
      </c>
      <c r="G328">
        <v>0</v>
      </c>
      <c r="H328">
        <v>195</v>
      </c>
      <c r="I328">
        <v>0</v>
      </c>
      <c r="J328">
        <v>0</v>
      </c>
      <c r="K328">
        <v>2</v>
      </c>
      <c r="L328">
        <v>1</v>
      </c>
      <c r="M328">
        <v>3</v>
      </c>
      <c r="N328">
        <v>0</v>
      </c>
      <c r="O328" t="str">
        <f t="shared" si="30"/>
        <v>Male</v>
      </c>
      <c r="P328" t="str">
        <f t="shared" si="31"/>
        <v>No Disease</v>
      </c>
      <c r="Q328" t="str">
        <f t="shared" si="32"/>
        <v>Atypical Angina</v>
      </c>
      <c r="R328" t="str">
        <f t="shared" si="33"/>
        <v>Normal</v>
      </c>
      <c r="S328" t="str">
        <f t="shared" si="34"/>
        <v>No</v>
      </c>
      <c r="T328" t="str" cm="1">
        <f t="array" ref="T328">_xlfn.IFS(A327&lt;30,"18-29",A327&lt;40,"30-39",A327&lt;50,"40-49",A327&lt;60,"50-59",A327&gt;=60,"60+")</f>
        <v>50-59</v>
      </c>
      <c r="U328" t="str">
        <f t="shared" si="35"/>
        <v>High (Stage 2)</v>
      </c>
    </row>
    <row r="329" spans="1:21">
      <c r="A329">
        <v>57</v>
      </c>
      <c r="B329">
        <v>1</v>
      </c>
      <c r="C329">
        <v>0</v>
      </c>
      <c r="D329">
        <v>150</v>
      </c>
      <c r="E329">
        <v>276</v>
      </c>
      <c r="F329">
        <v>0</v>
      </c>
      <c r="G329">
        <v>0</v>
      </c>
      <c r="H329">
        <v>112</v>
      </c>
      <c r="I329">
        <v>1</v>
      </c>
      <c r="J329">
        <v>0.6</v>
      </c>
      <c r="K329">
        <v>1</v>
      </c>
      <c r="L329">
        <v>1</v>
      </c>
      <c r="M329">
        <v>1</v>
      </c>
      <c r="N329">
        <v>0</v>
      </c>
      <c r="O329" t="str">
        <f t="shared" si="30"/>
        <v>Male</v>
      </c>
      <c r="P329" t="str">
        <f t="shared" si="31"/>
        <v>No Disease</v>
      </c>
      <c r="Q329" t="str">
        <f t="shared" si="32"/>
        <v>Typical Angina</v>
      </c>
      <c r="R329" t="str">
        <f t="shared" si="33"/>
        <v>Normal</v>
      </c>
      <c r="S329" t="str">
        <f t="shared" si="34"/>
        <v>Yes</v>
      </c>
      <c r="T329" t="str" cm="1">
        <f t="array" ref="T329">_xlfn.IFS(A328&lt;30,"18-29",A328&lt;40,"30-39",A328&lt;50,"40-49",A328&lt;60,"50-59",A328&gt;=60,"60+")</f>
        <v>50-59</v>
      </c>
      <c r="U329" t="str">
        <f t="shared" si="35"/>
        <v>High (Stage 2)</v>
      </c>
    </row>
    <row r="330" spans="1:21">
      <c r="A330">
        <v>70</v>
      </c>
      <c r="B330">
        <v>1</v>
      </c>
      <c r="C330">
        <v>0</v>
      </c>
      <c r="D330">
        <v>130</v>
      </c>
      <c r="E330">
        <v>322</v>
      </c>
      <c r="F330">
        <v>0</v>
      </c>
      <c r="G330">
        <v>0</v>
      </c>
      <c r="H330">
        <v>109</v>
      </c>
      <c r="I330">
        <v>0</v>
      </c>
      <c r="J330">
        <v>2.4</v>
      </c>
      <c r="K330">
        <v>1</v>
      </c>
      <c r="L330">
        <v>3</v>
      </c>
      <c r="M330">
        <v>2</v>
      </c>
      <c r="N330">
        <v>0</v>
      </c>
      <c r="O330" t="str">
        <f t="shared" si="30"/>
        <v>Male</v>
      </c>
      <c r="P330" t="str">
        <f t="shared" si="31"/>
        <v>No Disease</v>
      </c>
      <c r="Q330" t="str">
        <f t="shared" si="32"/>
        <v>Typical Angina</v>
      </c>
      <c r="R330" t="str">
        <f t="shared" si="33"/>
        <v>Normal</v>
      </c>
      <c r="S330" t="str">
        <f t="shared" si="34"/>
        <v>No</v>
      </c>
      <c r="T330" t="str" cm="1">
        <f t="array" ref="T330">_xlfn.IFS(A329&lt;30,"18-29",A329&lt;40,"30-39",A329&lt;50,"40-49",A329&lt;60,"50-59",A329&gt;=60,"60+")</f>
        <v>50-59</v>
      </c>
      <c r="U330" t="str">
        <f t="shared" si="35"/>
        <v>High (Stage 1)</v>
      </c>
    </row>
    <row r="331" spans="1:21">
      <c r="A331">
        <v>53</v>
      </c>
      <c r="B331">
        <v>0</v>
      </c>
      <c r="C331">
        <v>2</v>
      </c>
      <c r="D331">
        <v>128</v>
      </c>
      <c r="E331">
        <v>216</v>
      </c>
      <c r="F331">
        <v>0</v>
      </c>
      <c r="G331">
        <v>0</v>
      </c>
      <c r="H331">
        <v>115</v>
      </c>
      <c r="I331">
        <v>0</v>
      </c>
      <c r="J331">
        <v>0</v>
      </c>
      <c r="K331">
        <v>2</v>
      </c>
      <c r="L331">
        <v>0</v>
      </c>
      <c r="M331">
        <v>0</v>
      </c>
      <c r="N331">
        <v>1</v>
      </c>
      <c r="O331" t="str">
        <f t="shared" si="30"/>
        <v>Female</v>
      </c>
      <c r="P331" t="str">
        <f t="shared" si="31"/>
        <v>Heart Disease</v>
      </c>
      <c r="Q331" t="str">
        <f t="shared" si="32"/>
        <v>Non-Anginal Pain</v>
      </c>
      <c r="R331" t="str">
        <f t="shared" si="33"/>
        <v>Normal</v>
      </c>
      <c r="S331" t="str">
        <f t="shared" si="34"/>
        <v>No</v>
      </c>
      <c r="T331" t="str" cm="1">
        <f t="array" ref="T331">_xlfn.IFS(A330&lt;30,"18-29",A330&lt;40,"30-39",A330&lt;50,"40-49",A330&lt;60,"50-59",A330&gt;=60,"60+")</f>
        <v>60+</v>
      </c>
      <c r="U331" t="str">
        <f t="shared" si="35"/>
        <v>Elevated</v>
      </c>
    </row>
    <row r="332" spans="1:21">
      <c r="A332">
        <v>37</v>
      </c>
      <c r="B332">
        <v>0</v>
      </c>
      <c r="C332">
        <v>2</v>
      </c>
      <c r="D332">
        <v>120</v>
      </c>
      <c r="E332">
        <v>215</v>
      </c>
      <c r="F332">
        <v>0</v>
      </c>
      <c r="G332">
        <v>1</v>
      </c>
      <c r="H332">
        <v>170</v>
      </c>
      <c r="I332">
        <v>0</v>
      </c>
      <c r="J332">
        <v>0</v>
      </c>
      <c r="K332">
        <v>2</v>
      </c>
      <c r="L332">
        <v>0</v>
      </c>
      <c r="M332">
        <v>2</v>
      </c>
      <c r="N332">
        <v>1</v>
      </c>
      <c r="O332" t="str">
        <f t="shared" si="30"/>
        <v>Female</v>
      </c>
      <c r="P332" t="str">
        <f t="shared" si="31"/>
        <v>Heart Disease</v>
      </c>
      <c r="Q332" t="str">
        <f t="shared" si="32"/>
        <v>Non-Anginal Pain</v>
      </c>
      <c r="R332" t="str">
        <f t="shared" si="33"/>
        <v>Normal</v>
      </c>
      <c r="S332" t="str">
        <f t="shared" si="34"/>
        <v>No</v>
      </c>
      <c r="T332" t="str" cm="1">
        <f t="array" ref="T332">_xlfn.IFS(A331&lt;30,"18-29",A331&lt;40,"30-39",A331&lt;50,"40-49",A331&lt;60,"50-59",A331&gt;=60,"60+")</f>
        <v>50-59</v>
      </c>
      <c r="U332" t="str">
        <f t="shared" si="35"/>
        <v>Elevated</v>
      </c>
    </row>
    <row r="333" spans="1:21">
      <c r="A333">
        <v>63</v>
      </c>
      <c r="B333">
        <v>0</v>
      </c>
      <c r="C333">
        <v>0</v>
      </c>
      <c r="D333">
        <v>108</v>
      </c>
      <c r="E333">
        <v>269</v>
      </c>
      <c r="F333">
        <v>0</v>
      </c>
      <c r="G333">
        <v>1</v>
      </c>
      <c r="H333">
        <v>169</v>
      </c>
      <c r="I333">
        <v>1</v>
      </c>
      <c r="J333">
        <v>1.8</v>
      </c>
      <c r="K333">
        <v>1</v>
      </c>
      <c r="L333">
        <v>2</v>
      </c>
      <c r="M333">
        <v>2</v>
      </c>
      <c r="N333">
        <v>0</v>
      </c>
      <c r="O333" t="str">
        <f t="shared" si="30"/>
        <v>Female</v>
      </c>
      <c r="P333" t="str">
        <f t="shared" si="31"/>
        <v>No Disease</v>
      </c>
      <c r="Q333" t="str">
        <f t="shared" si="32"/>
        <v>Typical Angina</v>
      </c>
      <c r="R333" t="str">
        <f t="shared" si="33"/>
        <v>Normal</v>
      </c>
      <c r="S333" t="str">
        <f t="shared" si="34"/>
        <v>Yes</v>
      </c>
      <c r="T333" t="str" cm="1">
        <f t="array" ref="T333">_xlfn.IFS(A332&lt;30,"18-29",A332&lt;40,"30-39",A332&lt;50,"40-49",A332&lt;60,"50-59",A332&gt;=60,"60+")</f>
        <v>30-39</v>
      </c>
      <c r="U333" t="str">
        <f t="shared" si="35"/>
        <v>Normal</v>
      </c>
    </row>
    <row r="334" spans="1:21">
      <c r="A334">
        <v>37</v>
      </c>
      <c r="B334">
        <v>1</v>
      </c>
      <c r="C334">
        <v>2</v>
      </c>
      <c r="D334">
        <v>130</v>
      </c>
      <c r="E334">
        <v>250</v>
      </c>
      <c r="F334">
        <v>0</v>
      </c>
      <c r="G334">
        <v>1</v>
      </c>
      <c r="H334">
        <v>187</v>
      </c>
      <c r="I334">
        <v>0</v>
      </c>
      <c r="J334">
        <v>3.5</v>
      </c>
      <c r="K334">
        <v>0</v>
      </c>
      <c r="L334">
        <v>0</v>
      </c>
      <c r="M334">
        <v>2</v>
      </c>
      <c r="N334">
        <v>1</v>
      </c>
      <c r="O334" t="str">
        <f t="shared" si="30"/>
        <v>Male</v>
      </c>
      <c r="P334" t="str">
        <f t="shared" si="31"/>
        <v>Heart Disease</v>
      </c>
      <c r="Q334" t="str">
        <f t="shared" si="32"/>
        <v>Non-Anginal Pain</v>
      </c>
      <c r="R334" t="str">
        <f t="shared" si="33"/>
        <v>Normal</v>
      </c>
      <c r="S334" t="str">
        <f t="shared" si="34"/>
        <v>No</v>
      </c>
      <c r="T334" t="str" cm="1">
        <f t="array" ref="T334">_xlfn.IFS(A333&lt;30,"18-29",A333&lt;40,"30-39",A333&lt;50,"40-49",A333&lt;60,"50-59",A333&gt;=60,"60+")</f>
        <v>60+</v>
      </c>
      <c r="U334" t="str">
        <f t="shared" si="35"/>
        <v>High (Stage 1)</v>
      </c>
    </row>
    <row r="335" spans="1:21">
      <c r="A335">
        <v>54</v>
      </c>
      <c r="B335">
        <v>0</v>
      </c>
      <c r="C335">
        <v>2</v>
      </c>
      <c r="D335">
        <v>110</v>
      </c>
      <c r="E335">
        <v>214</v>
      </c>
      <c r="F335">
        <v>0</v>
      </c>
      <c r="G335">
        <v>1</v>
      </c>
      <c r="H335">
        <v>158</v>
      </c>
      <c r="I335">
        <v>0</v>
      </c>
      <c r="J335">
        <v>1.6</v>
      </c>
      <c r="K335">
        <v>1</v>
      </c>
      <c r="L335">
        <v>0</v>
      </c>
      <c r="M335">
        <v>2</v>
      </c>
      <c r="N335">
        <v>1</v>
      </c>
      <c r="O335" t="str">
        <f t="shared" si="30"/>
        <v>Female</v>
      </c>
      <c r="P335" t="str">
        <f t="shared" si="31"/>
        <v>Heart Disease</v>
      </c>
      <c r="Q335" t="str">
        <f t="shared" si="32"/>
        <v>Non-Anginal Pain</v>
      </c>
      <c r="R335" t="str">
        <f t="shared" si="33"/>
        <v>Normal</v>
      </c>
      <c r="S335" t="str">
        <f t="shared" si="34"/>
        <v>No</v>
      </c>
      <c r="T335" t="str" cm="1">
        <f t="array" ref="T335">_xlfn.IFS(A334&lt;30,"18-29",A334&lt;40,"30-39",A334&lt;50,"40-49",A334&lt;60,"50-59",A334&gt;=60,"60+")</f>
        <v>30-39</v>
      </c>
      <c r="U335" t="str">
        <f t="shared" si="35"/>
        <v>Normal</v>
      </c>
    </row>
    <row r="336" spans="1:21">
      <c r="A336">
        <v>60</v>
      </c>
      <c r="B336">
        <v>1</v>
      </c>
      <c r="C336">
        <v>0</v>
      </c>
      <c r="D336">
        <v>130</v>
      </c>
      <c r="E336">
        <v>206</v>
      </c>
      <c r="F336">
        <v>0</v>
      </c>
      <c r="G336">
        <v>0</v>
      </c>
      <c r="H336">
        <v>132</v>
      </c>
      <c r="I336">
        <v>1</v>
      </c>
      <c r="J336">
        <v>2.4</v>
      </c>
      <c r="K336">
        <v>1</v>
      </c>
      <c r="L336">
        <v>2</v>
      </c>
      <c r="M336">
        <v>3</v>
      </c>
      <c r="N336">
        <v>0</v>
      </c>
      <c r="O336" t="str">
        <f t="shared" si="30"/>
        <v>Male</v>
      </c>
      <c r="P336" t="str">
        <f t="shared" si="31"/>
        <v>No Disease</v>
      </c>
      <c r="Q336" t="str">
        <f t="shared" si="32"/>
        <v>Typical Angina</v>
      </c>
      <c r="R336" t="str">
        <f t="shared" si="33"/>
        <v>Normal</v>
      </c>
      <c r="S336" t="str">
        <f t="shared" si="34"/>
        <v>Yes</v>
      </c>
      <c r="T336" t="str" cm="1">
        <f t="array" ref="T336">_xlfn.IFS(A335&lt;30,"18-29",A335&lt;40,"30-39",A335&lt;50,"40-49",A335&lt;60,"50-59",A335&gt;=60,"60+")</f>
        <v>50-59</v>
      </c>
      <c r="U336" t="str">
        <f t="shared" si="35"/>
        <v>High (Stage 1)</v>
      </c>
    </row>
    <row r="337" spans="1:21">
      <c r="A337">
        <v>58</v>
      </c>
      <c r="B337">
        <v>1</v>
      </c>
      <c r="C337">
        <v>0</v>
      </c>
      <c r="D337">
        <v>150</v>
      </c>
      <c r="E337">
        <v>270</v>
      </c>
      <c r="F337">
        <v>0</v>
      </c>
      <c r="G337">
        <v>0</v>
      </c>
      <c r="H337">
        <v>111</v>
      </c>
      <c r="I337">
        <v>1</v>
      </c>
      <c r="J337">
        <v>0.8</v>
      </c>
      <c r="K337">
        <v>2</v>
      </c>
      <c r="L337">
        <v>0</v>
      </c>
      <c r="M337">
        <v>3</v>
      </c>
      <c r="N337">
        <v>0</v>
      </c>
      <c r="O337" t="str">
        <f t="shared" si="30"/>
        <v>Male</v>
      </c>
      <c r="P337" t="str">
        <f t="shared" si="31"/>
        <v>No Disease</v>
      </c>
      <c r="Q337" t="str">
        <f t="shared" si="32"/>
        <v>Typical Angina</v>
      </c>
      <c r="R337" t="str">
        <f t="shared" si="33"/>
        <v>Normal</v>
      </c>
      <c r="S337" t="str">
        <f t="shared" si="34"/>
        <v>Yes</v>
      </c>
      <c r="T337" t="str" cm="1">
        <f t="array" ref="T337">_xlfn.IFS(A336&lt;30,"18-29",A336&lt;40,"30-39",A336&lt;50,"40-49",A336&lt;60,"50-59",A336&gt;=60,"60+")</f>
        <v>60+</v>
      </c>
      <c r="U337" t="str">
        <f t="shared" si="35"/>
        <v>High (Stage 2)</v>
      </c>
    </row>
    <row r="338" spans="1:21">
      <c r="A338">
        <v>57</v>
      </c>
      <c r="B338">
        <v>1</v>
      </c>
      <c r="C338">
        <v>2</v>
      </c>
      <c r="D338">
        <v>150</v>
      </c>
      <c r="E338">
        <v>126</v>
      </c>
      <c r="F338">
        <v>1</v>
      </c>
      <c r="G338">
        <v>1</v>
      </c>
      <c r="H338">
        <v>173</v>
      </c>
      <c r="I338">
        <v>0</v>
      </c>
      <c r="J338">
        <v>0.2</v>
      </c>
      <c r="K338">
        <v>2</v>
      </c>
      <c r="L338">
        <v>1</v>
      </c>
      <c r="M338">
        <v>3</v>
      </c>
      <c r="N338">
        <v>1</v>
      </c>
      <c r="O338" t="str">
        <f t="shared" si="30"/>
        <v>Male</v>
      </c>
      <c r="P338" t="str">
        <f t="shared" si="31"/>
        <v>Heart Disease</v>
      </c>
      <c r="Q338" t="str">
        <f t="shared" si="32"/>
        <v>Non-Anginal Pain</v>
      </c>
      <c r="R338" t="str">
        <f t="shared" si="33"/>
        <v>High</v>
      </c>
      <c r="S338" t="str">
        <f t="shared" si="34"/>
        <v>No</v>
      </c>
      <c r="T338" t="str" cm="1">
        <f t="array" ref="T338">_xlfn.IFS(A337&lt;30,"18-29",A337&lt;40,"30-39",A337&lt;50,"40-49",A337&lt;60,"50-59",A337&gt;=60,"60+")</f>
        <v>50-59</v>
      </c>
      <c r="U338" t="str">
        <f t="shared" si="35"/>
        <v>High (Stage 2)</v>
      </c>
    </row>
    <row r="339" spans="1:21">
      <c r="A339">
        <v>54</v>
      </c>
      <c r="B339">
        <v>1</v>
      </c>
      <c r="C339">
        <v>2</v>
      </c>
      <c r="D339">
        <v>125</v>
      </c>
      <c r="E339">
        <v>273</v>
      </c>
      <c r="F339">
        <v>0</v>
      </c>
      <c r="G339">
        <v>0</v>
      </c>
      <c r="H339">
        <v>152</v>
      </c>
      <c r="I339">
        <v>0</v>
      </c>
      <c r="J339">
        <v>0.5</v>
      </c>
      <c r="K339">
        <v>0</v>
      </c>
      <c r="L339">
        <v>1</v>
      </c>
      <c r="M339">
        <v>2</v>
      </c>
      <c r="N339">
        <v>1</v>
      </c>
      <c r="O339" t="str">
        <f t="shared" si="30"/>
        <v>Male</v>
      </c>
      <c r="P339" t="str">
        <f t="shared" si="31"/>
        <v>Heart Disease</v>
      </c>
      <c r="Q339" t="str">
        <f t="shared" si="32"/>
        <v>Non-Anginal Pain</v>
      </c>
      <c r="R339" t="str">
        <f t="shared" si="33"/>
        <v>Normal</v>
      </c>
      <c r="S339" t="str">
        <f t="shared" si="34"/>
        <v>No</v>
      </c>
      <c r="T339" t="str" cm="1">
        <f t="array" ref="T339">_xlfn.IFS(A338&lt;30,"18-29",A338&lt;40,"30-39",A338&lt;50,"40-49",A338&lt;60,"50-59",A338&gt;=60,"60+")</f>
        <v>50-59</v>
      </c>
      <c r="U339" t="str">
        <f t="shared" si="35"/>
        <v>Elevated</v>
      </c>
    </row>
    <row r="340" spans="1:21">
      <c r="A340">
        <v>56</v>
      </c>
      <c r="B340">
        <v>1</v>
      </c>
      <c r="C340">
        <v>2</v>
      </c>
      <c r="D340">
        <v>130</v>
      </c>
      <c r="E340">
        <v>256</v>
      </c>
      <c r="F340">
        <v>1</v>
      </c>
      <c r="G340">
        <v>0</v>
      </c>
      <c r="H340">
        <v>142</v>
      </c>
      <c r="I340">
        <v>1</v>
      </c>
      <c r="J340">
        <v>0.6</v>
      </c>
      <c r="K340">
        <v>1</v>
      </c>
      <c r="L340">
        <v>1</v>
      </c>
      <c r="M340">
        <v>1</v>
      </c>
      <c r="N340">
        <v>0</v>
      </c>
      <c r="O340" t="str">
        <f t="shared" si="30"/>
        <v>Male</v>
      </c>
      <c r="P340" t="str">
        <f t="shared" si="31"/>
        <v>No Disease</v>
      </c>
      <c r="Q340" t="str">
        <f t="shared" si="32"/>
        <v>Non-Anginal Pain</v>
      </c>
      <c r="R340" t="str">
        <f t="shared" si="33"/>
        <v>High</v>
      </c>
      <c r="S340" t="str">
        <f t="shared" si="34"/>
        <v>Yes</v>
      </c>
      <c r="T340" t="str" cm="1">
        <f t="array" ref="T340">_xlfn.IFS(A339&lt;30,"18-29",A339&lt;40,"30-39",A339&lt;50,"40-49",A339&lt;60,"50-59",A339&gt;=60,"60+")</f>
        <v>50-59</v>
      </c>
      <c r="U340" t="str">
        <f t="shared" si="35"/>
        <v>High (Stage 1)</v>
      </c>
    </row>
    <row r="341" spans="1:21">
      <c r="A341">
        <v>60</v>
      </c>
      <c r="B341">
        <v>1</v>
      </c>
      <c r="C341">
        <v>0</v>
      </c>
      <c r="D341">
        <v>130</v>
      </c>
      <c r="E341">
        <v>253</v>
      </c>
      <c r="F341">
        <v>0</v>
      </c>
      <c r="G341">
        <v>1</v>
      </c>
      <c r="H341">
        <v>144</v>
      </c>
      <c r="I341">
        <v>1</v>
      </c>
      <c r="J341">
        <v>1.4</v>
      </c>
      <c r="K341">
        <v>2</v>
      </c>
      <c r="L341">
        <v>1</v>
      </c>
      <c r="M341">
        <v>3</v>
      </c>
      <c r="N341">
        <v>0</v>
      </c>
      <c r="O341" t="str">
        <f t="shared" si="30"/>
        <v>Male</v>
      </c>
      <c r="P341" t="str">
        <f t="shared" si="31"/>
        <v>No Disease</v>
      </c>
      <c r="Q341" t="str">
        <f t="shared" si="32"/>
        <v>Typical Angina</v>
      </c>
      <c r="R341" t="str">
        <f t="shared" si="33"/>
        <v>Normal</v>
      </c>
      <c r="S341" t="str">
        <f t="shared" si="34"/>
        <v>Yes</v>
      </c>
      <c r="T341" t="str" cm="1">
        <f t="array" ref="T341">_xlfn.IFS(A340&lt;30,"18-29",A340&lt;40,"30-39",A340&lt;50,"40-49",A340&lt;60,"50-59",A340&gt;=60,"60+")</f>
        <v>50-59</v>
      </c>
      <c r="U341" t="str">
        <f t="shared" si="35"/>
        <v>High (Stage 1)</v>
      </c>
    </row>
    <row r="342" spans="1:21">
      <c r="A342">
        <v>38</v>
      </c>
      <c r="B342">
        <v>1</v>
      </c>
      <c r="C342">
        <v>2</v>
      </c>
      <c r="D342">
        <v>138</v>
      </c>
      <c r="E342">
        <v>175</v>
      </c>
      <c r="F342">
        <v>0</v>
      </c>
      <c r="G342">
        <v>1</v>
      </c>
      <c r="H342">
        <v>173</v>
      </c>
      <c r="I342">
        <v>0</v>
      </c>
      <c r="J342">
        <v>0</v>
      </c>
      <c r="K342">
        <v>2</v>
      </c>
      <c r="L342">
        <v>4</v>
      </c>
      <c r="M342">
        <v>2</v>
      </c>
      <c r="N342">
        <v>1</v>
      </c>
      <c r="O342" t="str">
        <f t="shared" si="30"/>
        <v>Male</v>
      </c>
      <c r="P342" t="str">
        <f t="shared" si="31"/>
        <v>Heart Disease</v>
      </c>
      <c r="Q342" t="str">
        <f t="shared" si="32"/>
        <v>Non-Anginal Pain</v>
      </c>
      <c r="R342" t="str">
        <f t="shared" si="33"/>
        <v>Normal</v>
      </c>
      <c r="S342" t="str">
        <f t="shared" si="34"/>
        <v>No</v>
      </c>
      <c r="T342" t="str" cm="1">
        <f t="array" ref="T342">_xlfn.IFS(A341&lt;30,"18-29",A341&lt;40,"30-39",A341&lt;50,"40-49",A341&lt;60,"50-59",A341&gt;=60,"60+")</f>
        <v>60+</v>
      </c>
      <c r="U342" t="str">
        <f t="shared" si="35"/>
        <v>High (Stage 1)</v>
      </c>
    </row>
    <row r="343" spans="1:21">
      <c r="A343">
        <v>44</v>
      </c>
      <c r="B343">
        <v>1</v>
      </c>
      <c r="C343">
        <v>2</v>
      </c>
      <c r="D343">
        <v>120</v>
      </c>
      <c r="E343">
        <v>226</v>
      </c>
      <c r="F343">
        <v>0</v>
      </c>
      <c r="G343">
        <v>1</v>
      </c>
      <c r="H343">
        <v>169</v>
      </c>
      <c r="I343">
        <v>0</v>
      </c>
      <c r="J343">
        <v>0</v>
      </c>
      <c r="K343">
        <v>2</v>
      </c>
      <c r="L343">
        <v>0</v>
      </c>
      <c r="M343">
        <v>2</v>
      </c>
      <c r="N343">
        <v>1</v>
      </c>
      <c r="O343" t="str">
        <f t="shared" si="30"/>
        <v>Male</v>
      </c>
      <c r="P343" t="str">
        <f t="shared" si="31"/>
        <v>Heart Disease</v>
      </c>
      <c r="Q343" t="str">
        <f t="shared" si="32"/>
        <v>Non-Anginal Pain</v>
      </c>
      <c r="R343" t="str">
        <f t="shared" si="33"/>
        <v>Normal</v>
      </c>
      <c r="S343" t="str">
        <f t="shared" si="34"/>
        <v>No</v>
      </c>
      <c r="T343" t="str" cm="1">
        <f t="array" ref="T343">_xlfn.IFS(A342&lt;30,"18-29",A342&lt;40,"30-39",A342&lt;50,"40-49",A342&lt;60,"50-59",A342&gt;=60,"60+")</f>
        <v>30-39</v>
      </c>
      <c r="U343" t="str">
        <f t="shared" si="35"/>
        <v>Elevated</v>
      </c>
    </row>
    <row r="344" spans="1:21">
      <c r="A344">
        <v>65</v>
      </c>
      <c r="B344">
        <v>0</v>
      </c>
      <c r="C344">
        <v>2</v>
      </c>
      <c r="D344">
        <v>155</v>
      </c>
      <c r="E344">
        <v>269</v>
      </c>
      <c r="F344">
        <v>0</v>
      </c>
      <c r="G344">
        <v>1</v>
      </c>
      <c r="H344">
        <v>148</v>
      </c>
      <c r="I344">
        <v>0</v>
      </c>
      <c r="J344">
        <v>0.8</v>
      </c>
      <c r="K344">
        <v>2</v>
      </c>
      <c r="L344">
        <v>0</v>
      </c>
      <c r="M344">
        <v>2</v>
      </c>
      <c r="N344">
        <v>1</v>
      </c>
      <c r="O344" t="str">
        <f t="shared" si="30"/>
        <v>Female</v>
      </c>
      <c r="P344" t="str">
        <f t="shared" si="31"/>
        <v>Heart Disease</v>
      </c>
      <c r="Q344" t="str">
        <f t="shared" si="32"/>
        <v>Non-Anginal Pain</v>
      </c>
      <c r="R344" t="str">
        <f t="shared" si="33"/>
        <v>Normal</v>
      </c>
      <c r="S344" t="str">
        <f t="shared" si="34"/>
        <v>No</v>
      </c>
      <c r="T344" t="str" cm="1">
        <f t="array" ref="T344">_xlfn.IFS(A343&lt;30,"18-29",A343&lt;40,"30-39",A343&lt;50,"40-49",A343&lt;60,"50-59",A343&gt;=60,"60+")</f>
        <v>40-49</v>
      </c>
      <c r="U344" t="str">
        <f t="shared" si="35"/>
        <v>High (Stage 2)</v>
      </c>
    </row>
    <row r="345" spans="1:21">
      <c r="A345">
        <v>52</v>
      </c>
      <c r="B345">
        <v>1</v>
      </c>
      <c r="C345">
        <v>2</v>
      </c>
      <c r="D345">
        <v>172</v>
      </c>
      <c r="E345">
        <v>199</v>
      </c>
      <c r="F345">
        <v>1</v>
      </c>
      <c r="G345">
        <v>1</v>
      </c>
      <c r="H345">
        <v>162</v>
      </c>
      <c r="I345">
        <v>0</v>
      </c>
      <c r="J345">
        <v>0.5</v>
      </c>
      <c r="K345">
        <v>2</v>
      </c>
      <c r="L345">
        <v>0</v>
      </c>
      <c r="M345">
        <v>3</v>
      </c>
      <c r="N345">
        <v>1</v>
      </c>
      <c r="O345" t="str">
        <f t="shared" si="30"/>
        <v>Male</v>
      </c>
      <c r="P345" t="str">
        <f t="shared" si="31"/>
        <v>Heart Disease</v>
      </c>
      <c r="Q345" t="str">
        <f t="shared" si="32"/>
        <v>Non-Anginal Pain</v>
      </c>
      <c r="R345" t="str">
        <f t="shared" si="33"/>
        <v>High</v>
      </c>
      <c r="S345" t="str">
        <f t="shared" si="34"/>
        <v>No</v>
      </c>
      <c r="T345" t="str" cm="1">
        <f t="array" ref="T345">_xlfn.IFS(A344&lt;30,"18-29",A344&lt;40,"30-39",A344&lt;50,"40-49",A344&lt;60,"50-59",A344&gt;=60,"60+")</f>
        <v>60+</v>
      </c>
      <c r="U345" t="str">
        <f t="shared" si="35"/>
        <v>High (Stage 2)</v>
      </c>
    </row>
    <row r="346" spans="1:21">
      <c r="A346">
        <v>41</v>
      </c>
      <c r="B346">
        <v>1</v>
      </c>
      <c r="C346">
        <v>1</v>
      </c>
      <c r="D346">
        <v>120</v>
      </c>
      <c r="E346">
        <v>157</v>
      </c>
      <c r="F346">
        <v>0</v>
      </c>
      <c r="G346">
        <v>1</v>
      </c>
      <c r="H346">
        <v>182</v>
      </c>
      <c r="I346">
        <v>0</v>
      </c>
      <c r="J346">
        <v>0</v>
      </c>
      <c r="K346">
        <v>2</v>
      </c>
      <c r="L346">
        <v>0</v>
      </c>
      <c r="M346">
        <v>2</v>
      </c>
      <c r="N346">
        <v>1</v>
      </c>
      <c r="O346" t="str">
        <f t="shared" si="30"/>
        <v>Male</v>
      </c>
      <c r="P346" t="str">
        <f t="shared" si="31"/>
        <v>Heart Disease</v>
      </c>
      <c r="Q346" t="str">
        <f t="shared" si="32"/>
        <v>Atypical Angina</v>
      </c>
      <c r="R346" t="str">
        <f t="shared" si="33"/>
        <v>Normal</v>
      </c>
      <c r="S346" t="str">
        <f t="shared" si="34"/>
        <v>No</v>
      </c>
      <c r="T346" t="str" cm="1">
        <f t="array" ref="T346">_xlfn.IFS(A345&lt;30,"18-29",A345&lt;40,"30-39",A345&lt;50,"40-49",A345&lt;60,"50-59",A345&gt;=60,"60+")</f>
        <v>50-59</v>
      </c>
      <c r="U346" t="str">
        <f t="shared" si="35"/>
        <v>Elevated</v>
      </c>
    </row>
    <row r="347" spans="1:21">
      <c r="A347">
        <v>66</v>
      </c>
      <c r="B347">
        <v>1</v>
      </c>
      <c r="C347">
        <v>1</v>
      </c>
      <c r="D347">
        <v>160</v>
      </c>
      <c r="E347">
        <v>246</v>
      </c>
      <c r="F347">
        <v>0</v>
      </c>
      <c r="G347">
        <v>1</v>
      </c>
      <c r="H347">
        <v>120</v>
      </c>
      <c r="I347">
        <v>1</v>
      </c>
      <c r="J347">
        <v>0</v>
      </c>
      <c r="K347">
        <v>1</v>
      </c>
      <c r="L347">
        <v>3</v>
      </c>
      <c r="M347">
        <v>1</v>
      </c>
      <c r="N347">
        <v>0</v>
      </c>
      <c r="O347" t="str">
        <f t="shared" si="30"/>
        <v>Male</v>
      </c>
      <c r="P347" t="str">
        <f t="shared" si="31"/>
        <v>No Disease</v>
      </c>
      <c r="Q347" t="str">
        <f t="shared" si="32"/>
        <v>Atypical Angina</v>
      </c>
      <c r="R347" t="str">
        <f t="shared" si="33"/>
        <v>Normal</v>
      </c>
      <c r="S347" t="str">
        <f t="shared" si="34"/>
        <v>Yes</v>
      </c>
      <c r="T347" t="str" cm="1">
        <f t="array" ref="T347">_xlfn.IFS(A346&lt;30,"18-29",A346&lt;40,"30-39",A346&lt;50,"40-49",A346&lt;60,"50-59",A346&gt;=60,"60+")</f>
        <v>40-49</v>
      </c>
      <c r="U347" t="str">
        <f t="shared" si="35"/>
        <v>High (Stage 2)</v>
      </c>
    </row>
    <row r="348" spans="1:21">
      <c r="A348">
        <v>50</v>
      </c>
      <c r="B348">
        <v>1</v>
      </c>
      <c r="C348">
        <v>0</v>
      </c>
      <c r="D348">
        <v>150</v>
      </c>
      <c r="E348">
        <v>243</v>
      </c>
      <c r="F348">
        <v>0</v>
      </c>
      <c r="G348">
        <v>0</v>
      </c>
      <c r="H348">
        <v>128</v>
      </c>
      <c r="I348">
        <v>0</v>
      </c>
      <c r="J348">
        <v>2.6</v>
      </c>
      <c r="K348">
        <v>1</v>
      </c>
      <c r="L348">
        <v>0</v>
      </c>
      <c r="M348">
        <v>3</v>
      </c>
      <c r="N348">
        <v>0</v>
      </c>
      <c r="O348" t="str">
        <f t="shared" si="30"/>
        <v>Male</v>
      </c>
      <c r="P348" t="str">
        <f t="shared" si="31"/>
        <v>No Disease</v>
      </c>
      <c r="Q348" t="str">
        <f t="shared" si="32"/>
        <v>Typical Angina</v>
      </c>
      <c r="R348" t="str">
        <f t="shared" si="33"/>
        <v>Normal</v>
      </c>
      <c r="S348" t="str">
        <f t="shared" si="34"/>
        <v>No</v>
      </c>
      <c r="T348" t="str" cm="1">
        <f t="array" ref="T348">_xlfn.IFS(A347&lt;30,"18-29",A347&lt;40,"30-39",A347&lt;50,"40-49",A347&lt;60,"50-59",A347&gt;=60,"60+")</f>
        <v>60+</v>
      </c>
      <c r="U348" t="str">
        <f t="shared" si="35"/>
        <v>High (Stage 2)</v>
      </c>
    </row>
    <row r="349" spans="1:21">
      <c r="A349">
        <v>54</v>
      </c>
      <c r="B349">
        <v>0</v>
      </c>
      <c r="C349">
        <v>2</v>
      </c>
      <c r="D349">
        <v>108</v>
      </c>
      <c r="E349">
        <v>267</v>
      </c>
      <c r="F349">
        <v>0</v>
      </c>
      <c r="G349">
        <v>0</v>
      </c>
      <c r="H349">
        <v>167</v>
      </c>
      <c r="I349">
        <v>0</v>
      </c>
      <c r="J349">
        <v>0</v>
      </c>
      <c r="K349">
        <v>2</v>
      </c>
      <c r="L349">
        <v>0</v>
      </c>
      <c r="M349">
        <v>2</v>
      </c>
      <c r="N349">
        <v>1</v>
      </c>
      <c r="O349" t="str">
        <f t="shared" si="30"/>
        <v>Female</v>
      </c>
      <c r="P349" t="str">
        <f t="shared" si="31"/>
        <v>Heart Disease</v>
      </c>
      <c r="Q349" t="str">
        <f t="shared" si="32"/>
        <v>Non-Anginal Pain</v>
      </c>
      <c r="R349" t="str">
        <f t="shared" si="33"/>
        <v>Normal</v>
      </c>
      <c r="S349" t="str">
        <f t="shared" si="34"/>
        <v>No</v>
      </c>
      <c r="T349" t="str" cm="1">
        <f t="array" ref="T349">_xlfn.IFS(A348&lt;30,"18-29",A348&lt;40,"30-39",A348&lt;50,"40-49",A348&lt;60,"50-59",A348&gt;=60,"60+")</f>
        <v>50-59</v>
      </c>
      <c r="U349" t="str">
        <f t="shared" si="35"/>
        <v>Normal</v>
      </c>
    </row>
    <row r="350" spans="1:21">
      <c r="A350">
        <v>43</v>
      </c>
      <c r="B350">
        <v>1</v>
      </c>
      <c r="C350">
        <v>0</v>
      </c>
      <c r="D350">
        <v>132</v>
      </c>
      <c r="E350">
        <v>247</v>
      </c>
      <c r="F350">
        <v>1</v>
      </c>
      <c r="G350">
        <v>0</v>
      </c>
      <c r="H350">
        <v>143</v>
      </c>
      <c r="I350">
        <v>1</v>
      </c>
      <c r="J350">
        <v>0.1</v>
      </c>
      <c r="K350">
        <v>1</v>
      </c>
      <c r="L350">
        <v>4</v>
      </c>
      <c r="M350">
        <v>3</v>
      </c>
      <c r="N350">
        <v>0</v>
      </c>
      <c r="O350" t="str">
        <f t="shared" si="30"/>
        <v>Male</v>
      </c>
      <c r="P350" t="str">
        <f t="shared" si="31"/>
        <v>No Disease</v>
      </c>
      <c r="Q350" t="str">
        <f t="shared" si="32"/>
        <v>Typical Angina</v>
      </c>
      <c r="R350" t="str">
        <f t="shared" si="33"/>
        <v>High</v>
      </c>
      <c r="S350" t="str">
        <f t="shared" si="34"/>
        <v>Yes</v>
      </c>
      <c r="T350" t="str" cm="1">
        <f t="array" ref="T350">_xlfn.IFS(A349&lt;30,"18-29",A349&lt;40,"30-39",A349&lt;50,"40-49",A349&lt;60,"50-59",A349&gt;=60,"60+")</f>
        <v>50-59</v>
      </c>
      <c r="U350" t="str">
        <f t="shared" si="35"/>
        <v>High (Stage 1)</v>
      </c>
    </row>
    <row r="351" spans="1:21">
      <c r="A351">
        <v>62</v>
      </c>
      <c r="B351">
        <v>0</v>
      </c>
      <c r="C351">
        <v>2</v>
      </c>
      <c r="D351">
        <v>130</v>
      </c>
      <c r="E351">
        <v>263</v>
      </c>
      <c r="F351">
        <v>0</v>
      </c>
      <c r="G351">
        <v>1</v>
      </c>
      <c r="H351">
        <v>97</v>
      </c>
      <c r="I351">
        <v>0</v>
      </c>
      <c r="J351">
        <v>1.2</v>
      </c>
      <c r="K351">
        <v>1</v>
      </c>
      <c r="L351">
        <v>1</v>
      </c>
      <c r="M351">
        <v>3</v>
      </c>
      <c r="N351">
        <v>0</v>
      </c>
      <c r="O351" t="str">
        <f t="shared" si="30"/>
        <v>Female</v>
      </c>
      <c r="P351" t="str">
        <f t="shared" si="31"/>
        <v>No Disease</v>
      </c>
      <c r="Q351" t="str">
        <f t="shared" si="32"/>
        <v>Non-Anginal Pain</v>
      </c>
      <c r="R351" t="str">
        <f t="shared" si="33"/>
        <v>Normal</v>
      </c>
      <c r="S351" t="str">
        <f t="shared" si="34"/>
        <v>No</v>
      </c>
      <c r="T351" t="str" cm="1">
        <f t="array" ref="T351">_xlfn.IFS(A350&lt;30,"18-29",A350&lt;40,"30-39",A350&lt;50,"40-49",A350&lt;60,"50-59",A350&gt;=60,"60+")</f>
        <v>40-49</v>
      </c>
      <c r="U351" t="str">
        <f t="shared" si="35"/>
        <v>High (Stage 1)</v>
      </c>
    </row>
    <row r="352" spans="1:21">
      <c r="A352">
        <v>66</v>
      </c>
      <c r="B352">
        <v>1</v>
      </c>
      <c r="C352">
        <v>0</v>
      </c>
      <c r="D352">
        <v>120</v>
      </c>
      <c r="E352">
        <v>302</v>
      </c>
      <c r="F352">
        <v>0</v>
      </c>
      <c r="G352">
        <v>0</v>
      </c>
      <c r="H352">
        <v>151</v>
      </c>
      <c r="I352">
        <v>0</v>
      </c>
      <c r="J352">
        <v>0.4</v>
      </c>
      <c r="K352">
        <v>1</v>
      </c>
      <c r="L352">
        <v>0</v>
      </c>
      <c r="M352">
        <v>2</v>
      </c>
      <c r="N352">
        <v>1</v>
      </c>
      <c r="O352" t="str">
        <f t="shared" si="30"/>
        <v>Male</v>
      </c>
      <c r="P352" t="str">
        <f t="shared" si="31"/>
        <v>Heart Disease</v>
      </c>
      <c r="Q352" t="str">
        <f t="shared" si="32"/>
        <v>Typical Angina</v>
      </c>
      <c r="R352" t="str">
        <f t="shared" si="33"/>
        <v>Normal</v>
      </c>
      <c r="S352" t="str">
        <f t="shared" si="34"/>
        <v>No</v>
      </c>
      <c r="T352" t="str" cm="1">
        <f t="array" ref="T352">_xlfn.IFS(A351&lt;30,"18-29",A351&lt;40,"30-39",A351&lt;50,"40-49",A351&lt;60,"50-59",A351&gt;=60,"60+")</f>
        <v>60+</v>
      </c>
      <c r="U352" t="str">
        <f t="shared" si="35"/>
        <v>Elevated</v>
      </c>
    </row>
    <row r="353" spans="1:21">
      <c r="A353">
        <v>50</v>
      </c>
      <c r="B353">
        <v>1</v>
      </c>
      <c r="C353">
        <v>0</v>
      </c>
      <c r="D353">
        <v>144</v>
      </c>
      <c r="E353">
        <v>200</v>
      </c>
      <c r="F353">
        <v>0</v>
      </c>
      <c r="G353">
        <v>0</v>
      </c>
      <c r="H353">
        <v>126</v>
      </c>
      <c r="I353">
        <v>1</v>
      </c>
      <c r="J353">
        <v>0.9</v>
      </c>
      <c r="K353">
        <v>1</v>
      </c>
      <c r="L353">
        <v>0</v>
      </c>
      <c r="M353">
        <v>3</v>
      </c>
      <c r="N353">
        <v>0</v>
      </c>
      <c r="O353" t="str">
        <f t="shared" si="30"/>
        <v>Male</v>
      </c>
      <c r="P353" t="str">
        <f t="shared" si="31"/>
        <v>No Disease</v>
      </c>
      <c r="Q353" t="str">
        <f t="shared" si="32"/>
        <v>Typical Angina</v>
      </c>
      <c r="R353" t="str">
        <f t="shared" si="33"/>
        <v>Normal</v>
      </c>
      <c r="S353" t="str">
        <f t="shared" si="34"/>
        <v>Yes</v>
      </c>
      <c r="T353" t="str" cm="1">
        <f t="array" ref="T353">_xlfn.IFS(A352&lt;30,"18-29",A352&lt;40,"30-39",A352&lt;50,"40-49",A352&lt;60,"50-59",A352&gt;=60,"60+")</f>
        <v>60+</v>
      </c>
      <c r="U353" t="str">
        <f t="shared" si="35"/>
        <v>High (Stage 2)</v>
      </c>
    </row>
    <row r="354" spans="1:21">
      <c r="A354">
        <v>57</v>
      </c>
      <c r="B354">
        <v>1</v>
      </c>
      <c r="C354">
        <v>0</v>
      </c>
      <c r="D354">
        <v>110</v>
      </c>
      <c r="E354">
        <v>335</v>
      </c>
      <c r="F354">
        <v>0</v>
      </c>
      <c r="G354">
        <v>1</v>
      </c>
      <c r="H354">
        <v>143</v>
      </c>
      <c r="I354">
        <v>1</v>
      </c>
      <c r="J354">
        <v>3</v>
      </c>
      <c r="K354">
        <v>1</v>
      </c>
      <c r="L354">
        <v>1</v>
      </c>
      <c r="M354">
        <v>3</v>
      </c>
      <c r="N354">
        <v>0</v>
      </c>
      <c r="O354" t="str">
        <f t="shared" si="30"/>
        <v>Male</v>
      </c>
      <c r="P354" t="str">
        <f t="shared" si="31"/>
        <v>No Disease</v>
      </c>
      <c r="Q354" t="str">
        <f t="shared" si="32"/>
        <v>Typical Angina</v>
      </c>
      <c r="R354" t="str">
        <f t="shared" si="33"/>
        <v>Normal</v>
      </c>
      <c r="S354" t="str">
        <f t="shared" si="34"/>
        <v>Yes</v>
      </c>
      <c r="T354" t="str" cm="1">
        <f t="array" ref="T354">_xlfn.IFS(A353&lt;30,"18-29",A353&lt;40,"30-39",A353&lt;50,"40-49",A353&lt;60,"50-59",A353&gt;=60,"60+")</f>
        <v>50-59</v>
      </c>
      <c r="U354" t="str">
        <f t="shared" si="35"/>
        <v>Normal</v>
      </c>
    </row>
    <row r="355" spans="1:21">
      <c r="A355">
        <v>57</v>
      </c>
      <c r="B355">
        <v>1</v>
      </c>
      <c r="C355">
        <v>0</v>
      </c>
      <c r="D355">
        <v>110</v>
      </c>
      <c r="E355">
        <v>201</v>
      </c>
      <c r="F355">
        <v>0</v>
      </c>
      <c r="G355">
        <v>1</v>
      </c>
      <c r="H355">
        <v>126</v>
      </c>
      <c r="I355">
        <v>1</v>
      </c>
      <c r="J355">
        <v>1.5</v>
      </c>
      <c r="K355">
        <v>1</v>
      </c>
      <c r="L355">
        <v>0</v>
      </c>
      <c r="M355">
        <v>1</v>
      </c>
      <c r="N355">
        <v>1</v>
      </c>
      <c r="O355" t="str">
        <f t="shared" si="30"/>
        <v>Male</v>
      </c>
      <c r="P355" t="str">
        <f t="shared" si="31"/>
        <v>Heart Disease</v>
      </c>
      <c r="Q355" t="str">
        <f t="shared" si="32"/>
        <v>Typical Angina</v>
      </c>
      <c r="R355" t="str">
        <f t="shared" si="33"/>
        <v>Normal</v>
      </c>
      <c r="S355" t="str">
        <f t="shared" si="34"/>
        <v>Yes</v>
      </c>
      <c r="T355" t="str" cm="1">
        <f t="array" ref="T355">_xlfn.IFS(A354&lt;30,"18-29",A354&lt;40,"30-39",A354&lt;50,"40-49",A354&lt;60,"50-59",A354&gt;=60,"60+")</f>
        <v>50-59</v>
      </c>
      <c r="U355" t="str">
        <f t="shared" si="35"/>
        <v>Normal</v>
      </c>
    </row>
    <row r="356" spans="1:21">
      <c r="A356">
        <v>57</v>
      </c>
      <c r="B356">
        <v>1</v>
      </c>
      <c r="C356">
        <v>1</v>
      </c>
      <c r="D356">
        <v>124</v>
      </c>
      <c r="E356">
        <v>261</v>
      </c>
      <c r="F356">
        <v>0</v>
      </c>
      <c r="G356">
        <v>1</v>
      </c>
      <c r="H356">
        <v>141</v>
      </c>
      <c r="I356">
        <v>0</v>
      </c>
      <c r="J356">
        <v>0.3</v>
      </c>
      <c r="K356">
        <v>2</v>
      </c>
      <c r="L356">
        <v>0</v>
      </c>
      <c r="M356">
        <v>3</v>
      </c>
      <c r="N356">
        <v>0</v>
      </c>
      <c r="O356" t="str">
        <f t="shared" si="30"/>
        <v>Male</v>
      </c>
      <c r="P356" t="str">
        <f t="shared" si="31"/>
        <v>No Disease</v>
      </c>
      <c r="Q356" t="str">
        <f t="shared" si="32"/>
        <v>Atypical Angina</v>
      </c>
      <c r="R356" t="str">
        <f t="shared" si="33"/>
        <v>Normal</v>
      </c>
      <c r="S356" t="str">
        <f t="shared" si="34"/>
        <v>No</v>
      </c>
      <c r="T356" t="str" cm="1">
        <f t="array" ref="T356">_xlfn.IFS(A355&lt;30,"18-29",A355&lt;40,"30-39",A355&lt;50,"40-49",A355&lt;60,"50-59",A355&gt;=60,"60+")</f>
        <v>50-59</v>
      </c>
      <c r="U356" t="str">
        <f t="shared" si="35"/>
        <v>Elevated</v>
      </c>
    </row>
    <row r="357" spans="1:21">
      <c r="A357">
        <v>46</v>
      </c>
      <c r="B357">
        <v>0</v>
      </c>
      <c r="C357">
        <v>0</v>
      </c>
      <c r="D357">
        <v>138</v>
      </c>
      <c r="E357">
        <v>243</v>
      </c>
      <c r="F357">
        <v>0</v>
      </c>
      <c r="G357">
        <v>0</v>
      </c>
      <c r="H357">
        <v>152</v>
      </c>
      <c r="I357">
        <v>1</v>
      </c>
      <c r="J357">
        <v>0</v>
      </c>
      <c r="K357">
        <v>1</v>
      </c>
      <c r="L357">
        <v>0</v>
      </c>
      <c r="M357">
        <v>2</v>
      </c>
      <c r="N357">
        <v>1</v>
      </c>
      <c r="O357" t="str">
        <f t="shared" si="30"/>
        <v>Female</v>
      </c>
      <c r="P357" t="str">
        <f t="shared" si="31"/>
        <v>Heart Disease</v>
      </c>
      <c r="Q357" t="str">
        <f t="shared" si="32"/>
        <v>Typical Angina</v>
      </c>
      <c r="R357" t="str">
        <f t="shared" si="33"/>
        <v>Normal</v>
      </c>
      <c r="S357" t="str">
        <f t="shared" si="34"/>
        <v>Yes</v>
      </c>
      <c r="T357" t="str" cm="1">
        <f t="array" ref="T357">_xlfn.IFS(A356&lt;30,"18-29",A356&lt;40,"30-39",A356&lt;50,"40-49",A356&lt;60,"50-59",A356&gt;=60,"60+")</f>
        <v>50-59</v>
      </c>
      <c r="U357" t="str">
        <f t="shared" si="35"/>
        <v>High (Stage 1)</v>
      </c>
    </row>
    <row r="358" spans="1:21">
      <c r="A358">
        <v>59</v>
      </c>
      <c r="B358">
        <v>1</v>
      </c>
      <c r="C358">
        <v>0</v>
      </c>
      <c r="D358">
        <v>164</v>
      </c>
      <c r="E358">
        <v>176</v>
      </c>
      <c r="F358">
        <v>1</v>
      </c>
      <c r="G358">
        <v>0</v>
      </c>
      <c r="H358">
        <v>90</v>
      </c>
      <c r="I358">
        <v>0</v>
      </c>
      <c r="J358">
        <v>1</v>
      </c>
      <c r="K358">
        <v>1</v>
      </c>
      <c r="L358">
        <v>2</v>
      </c>
      <c r="M358">
        <v>1</v>
      </c>
      <c r="N358">
        <v>0</v>
      </c>
      <c r="O358" t="str">
        <f t="shared" si="30"/>
        <v>Male</v>
      </c>
      <c r="P358" t="str">
        <f t="shared" si="31"/>
        <v>No Disease</v>
      </c>
      <c r="Q358" t="str">
        <f t="shared" si="32"/>
        <v>Typical Angina</v>
      </c>
      <c r="R358" t="str">
        <f t="shared" si="33"/>
        <v>High</v>
      </c>
      <c r="S358" t="str">
        <f t="shared" si="34"/>
        <v>No</v>
      </c>
      <c r="T358" t="str" cm="1">
        <f t="array" ref="T358">_xlfn.IFS(A357&lt;30,"18-29",A357&lt;40,"30-39",A357&lt;50,"40-49",A357&lt;60,"50-59",A357&gt;=60,"60+")</f>
        <v>40-49</v>
      </c>
      <c r="U358" t="str">
        <f t="shared" si="35"/>
        <v>High (Stage 2)</v>
      </c>
    </row>
    <row r="359" spans="1:21">
      <c r="A359">
        <v>67</v>
      </c>
      <c r="B359">
        <v>1</v>
      </c>
      <c r="C359">
        <v>0</v>
      </c>
      <c r="D359">
        <v>160</v>
      </c>
      <c r="E359">
        <v>286</v>
      </c>
      <c r="F359">
        <v>0</v>
      </c>
      <c r="G359">
        <v>0</v>
      </c>
      <c r="H359">
        <v>108</v>
      </c>
      <c r="I359">
        <v>1</v>
      </c>
      <c r="J359">
        <v>1.5</v>
      </c>
      <c r="K359">
        <v>1</v>
      </c>
      <c r="L359">
        <v>3</v>
      </c>
      <c r="M359">
        <v>2</v>
      </c>
      <c r="N359">
        <v>0</v>
      </c>
      <c r="O359" t="str">
        <f t="shared" si="30"/>
        <v>Male</v>
      </c>
      <c r="P359" t="str">
        <f t="shared" si="31"/>
        <v>No Disease</v>
      </c>
      <c r="Q359" t="str">
        <f t="shared" si="32"/>
        <v>Typical Angina</v>
      </c>
      <c r="R359" t="str">
        <f t="shared" si="33"/>
        <v>Normal</v>
      </c>
      <c r="S359" t="str">
        <f t="shared" si="34"/>
        <v>Yes</v>
      </c>
      <c r="T359" t="str" cm="1">
        <f t="array" ref="T359">_xlfn.IFS(A358&lt;30,"18-29",A358&lt;40,"30-39",A358&lt;50,"40-49",A358&lt;60,"50-59",A358&gt;=60,"60+")</f>
        <v>50-59</v>
      </c>
      <c r="U359" t="str">
        <f t="shared" si="35"/>
        <v>High (Stage 2)</v>
      </c>
    </row>
    <row r="360" spans="1:21">
      <c r="A360">
        <v>59</v>
      </c>
      <c r="B360">
        <v>1</v>
      </c>
      <c r="C360">
        <v>3</v>
      </c>
      <c r="D360">
        <v>134</v>
      </c>
      <c r="E360">
        <v>204</v>
      </c>
      <c r="F360">
        <v>0</v>
      </c>
      <c r="G360">
        <v>1</v>
      </c>
      <c r="H360">
        <v>162</v>
      </c>
      <c r="I360">
        <v>0</v>
      </c>
      <c r="J360">
        <v>0.8</v>
      </c>
      <c r="K360">
        <v>2</v>
      </c>
      <c r="L360">
        <v>2</v>
      </c>
      <c r="M360">
        <v>2</v>
      </c>
      <c r="N360">
        <v>0</v>
      </c>
      <c r="O360" t="str">
        <f t="shared" si="30"/>
        <v>Male</v>
      </c>
      <c r="P360" t="str">
        <f t="shared" si="31"/>
        <v>No Disease</v>
      </c>
      <c r="Q360" t="str">
        <f t="shared" si="32"/>
        <v>Asymptomatic</v>
      </c>
      <c r="R360" t="str">
        <f t="shared" si="33"/>
        <v>Normal</v>
      </c>
      <c r="S360" t="str">
        <f t="shared" si="34"/>
        <v>No</v>
      </c>
      <c r="T360" t="str" cm="1">
        <f t="array" ref="T360">_xlfn.IFS(A359&lt;30,"18-29",A359&lt;40,"30-39",A359&lt;50,"40-49",A359&lt;60,"50-59",A359&gt;=60,"60+")</f>
        <v>60+</v>
      </c>
      <c r="U360" t="str">
        <f t="shared" si="35"/>
        <v>High (Stage 1)</v>
      </c>
    </row>
    <row r="361" spans="1:21">
      <c r="A361">
        <v>53</v>
      </c>
      <c r="B361">
        <v>0</v>
      </c>
      <c r="C361">
        <v>2</v>
      </c>
      <c r="D361">
        <v>128</v>
      </c>
      <c r="E361">
        <v>216</v>
      </c>
      <c r="F361">
        <v>0</v>
      </c>
      <c r="G361">
        <v>0</v>
      </c>
      <c r="H361">
        <v>115</v>
      </c>
      <c r="I361">
        <v>0</v>
      </c>
      <c r="J361">
        <v>0</v>
      </c>
      <c r="K361">
        <v>2</v>
      </c>
      <c r="L361">
        <v>0</v>
      </c>
      <c r="M361">
        <v>0</v>
      </c>
      <c r="N361">
        <v>1</v>
      </c>
      <c r="O361" t="str">
        <f t="shared" si="30"/>
        <v>Female</v>
      </c>
      <c r="P361" t="str">
        <f t="shared" si="31"/>
        <v>Heart Disease</v>
      </c>
      <c r="Q361" t="str">
        <f t="shared" si="32"/>
        <v>Non-Anginal Pain</v>
      </c>
      <c r="R361" t="str">
        <f t="shared" si="33"/>
        <v>Normal</v>
      </c>
      <c r="S361" t="str">
        <f t="shared" si="34"/>
        <v>No</v>
      </c>
      <c r="T361" t="str" cm="1">
        <f t="array" ref="T361">_xlfn.IFS(A360&lt;30,"18-29",A360&lt;40,"30-39",A360&lt;50,"40-49",A360&lt;60,"50-59",A360&gt;=60,"60+")</f>
        <v>50-59</v>
      </c>
      <c r="U361" t="str">
        <f t="shared" si="35"/>
        <v>Elevated</v>
      </c>
    </row>
    <row r="362" spans="1:21">
      <c r="A362">
        <v>48</v>
      </c>
      <c r="B362">
        <v>1</v>
      </c>
      <c r="C362">
        <v>0</v>
      </c>
      <c r="D362">
        <v>122</v>
      </c>
      <c r="E362">
        <v>222</v>
      </c>
      <c r="F362">
        <v>0</v>
      </c>
      <c r="G362">
        <v>0</v>
      </c>
      <c r="H362">
        <v>186</v>
      </c>
      <c r="I362">
        <v>0</v>
      </c>
      <c r="J362">
        <v>0</v>
      </c>
      <c r="K362">
        <v>2</v>
      </c>
      <c r="L362">
        <v>0</v>
      </c>
      <c r="M362">
        <v>2</v>
      </c>
      <c r="N362">
        <v>1</v>
      </c>
      <c r="O362" t="str">
        <f t="shared" si="30"/>
        <v>Male</v>
      </c>
      <c r="P362" t="str">
        <f t="shared" si="31"/>
        <v>Heart Disease</v>
      </c>
      <c r="Q362" t="str">
        <f t="shared" si="32"/>
        <v>Typical Angina</v>
      </c>
      <c r="R362" t="str">
        <f t="shared" si="33"/>
        <v>Normal</v>
      </c>
      <c r="S362" t="str">
        <f t="shared" si="34"/>
        <v>No</v>
      </c>
      <c r="T362" t="str" cm="1">
        <f t="array" ref="T362">_xlfn.IFS(A361&lt;30,"18-29",A361&lt;40,"30-39",A361&lt;50,"40-49",A361&lt;60,"50-59",A361&gt;=60,"60+")</f>
        <v>50-59</v>
      </c>
      <c r="U362" t="str">
        <f t="shared" si="35"/>
        <v>Elevated</v>
      </c>
    </row>
    <row r="363" spans="1:21">
      <c r="A363">
        <v>62</v>
      </c>
      <c r="B363">
        <v>1</v>
      </c>
      <c r="C363">
        <v>2</v>
      </c>
      <c r="D363">
        <v>130</v>
      </c>
      <c r="E363">
        <v>231</v>
      </c>
      <c r="F363">
        <v>0</v>
      </c>
      <c r="G363">
        <v>1</v>
      </c>
      <c r="H363">
        <v>146</v>
      </c>
      <c r="I363">
        <v>0</v>
      </c>
      <c r="J363">
        <v>1.8</v>
      </c>
      <c r="K363">
        <v>1</v>
      </c>
      <c r="L363">
        <v>3</v>
      </c>
      <c r="M363">
        <v>3</v>
      </c>
      <c r="N363">
        <v>1</v>
      </c>
      <c r="O363" t="str">
        <f t="shared" si="30"/>
        <v>Male</v>
      </c>
      <c r="P363" t="str">
        <f t="shared" si="31"/>
        <v>Heart Disease</v>
      </c>
      <c r="Q363" t="str">
        <f t="shared" si="32"/>
        <v>Non-Anginal Pain</v>
      </c>
      <c r="R363" t="str">
        <f t="shared" si="33"/>
        <v>Normal</v>
      </c>
      <c r="S363" t="str">
        <f t="shared" si="34"/>
        <v>No</v>
      </c>
      <c r="T363" t="str" cm="1">
        <f t="array" ref="T363">_xlfn.IFS(A362&lt;30,"18-29",A362&lt;40,"30-39",A362&lt;50,"40-49",A362&lt;60,"50-59",A362&gt;=60,"60+")</f>
        <v>40-49</v>
      </c>
      <c r="U363" t="str">
        <f t="shared" si="35"/>
        <v>High (Stage 1)</v>
      </c>
    </row>
    <row r="364" spans="1:21">
      <c r="A364">
        <v>43</v>
      </c>
      <c r="B364">
        <v>0</v>
      </c>
      <c r="C364">
        <v>2</v>
      </c>
      <c r="D364">
        <v>122</v>
      </c>
      <c r="E364">
        <v>213</v>
      </c>
      <c r="F364">
        <v>0</v>
      </c>
      <c r="G364">
        <v>1</v>
      </c>
      <c r="H364">
        <v>165</v>
      </c>
      <c r="I364">
        <v>0</v>
      </c>
      <c r="J364">
        <v>0.2</v>
      </c>
      <c r="K364">
        <v>1</v>
      </c>
      <c r="L364">
        <v>0</v>
      </c>
      <c r="M364">
        <v>2</v>
      </c>
      <c r="N364">
        <v>1</v>
      </c>
      <c r="O364" t="str">
        <f t="shared" si="30"/>
        <v>Female</v>
      </c>
      <c r="P364" t="str">
        <f t="shared" si="31"/>
        <v>Heart Disease</v>
      </c>
      <c r="Q364" t="str">
        <f t="shared" si="32"/>
        <v>Non-Anginal Pain</v>
      </c>
      <c r="R364" t="str">
        <f t="shared" si="33"/>
        <v>Normal</v>
      </c>
      <c r="S364" t="str">
        <f t="shared" si="34"/>
        <v>No</v>
      </c>
      <c r="T364" t="str" cm="1">
        <f t="array" ref="T364">_xlfn.IFS(A363&lt;30,"18-29",A363&lt;40,"30-39",A363&lt;50,"40-49",A363&lt;60,"50-59",A363&gt;=60,"60+")</f>
        <v>60+</v>
      </c>
      <c r="U364" t="str">
        <f t="shared" si="35"/>
        <v>Elevated</v>
      </c>
    </row>
    <row r="365" spans="1:21">
      <c r="A365">
        <v>53</v>
      </c>
      <c r="B365">
        <v>1</v>
      </c>
      <c r="C365">
        <v>2</v>
      </c>
      <c r="D365">
        <v>130</v>
      </c>
      <c r="E365">
        <v>246</v>
      </c>
      <c r="F365">
        <v>1</v>
      </c>
      <c r="G365">
        <v>0</v>
      </c>
      <c r="H365">
        <v>173</v>
      </c>
      <c r="I365">
        <v>0</v>
      </c>
      <c r="J365">
        <v>0</v>
      </c>
      <c r="K365">
        <v>2</v>
      </c>
      <c r="L365">
        <v>3</v>
      </c>
      <c r="M365">
        <v>2</v>
      </c>
      <c r="N365">
        <v>1</v>
      </c>
      <c r="O365" t="str">
        <f t="shared" si="30"/>
        <v>Male</v>
      </c>
      <c r="P365" t="str">
        <f t="shared" si="31"/>
        <v>Heart Disease</v>
      </c>
      <c r="Q365" t="str">
        <f t="shared" si="32"/>
        <v>Non-Anginal Pain</v>
      </c>
      <c r="R365" t="str">
        <f t="shared" si="33"/>
        <v>High</v>
      </c>
      <c r="S365" t="str">
        <f t="shared" si="34"/>
        <v>No</v>
      </c>
      <c r="T365" t="str" cm="1">
        <f t="array" ref="T365">_xlfn.IFS(A364&lt;30,"18-29",A364&lt;40,"30-39",A364&lt;50,"40-49",A364&lt;60,"50-59",A364&gt;=60,"60+")</f>
        <v>40-49</v>
      </c>
      <c r="U365" t="str">
        <f t="shared" si="35"/>
        <v>High (Stage 1)</v>
      </c>
    </row>
    <row r="366" spans="1:21">
      <c r="A366">
        <v>57</v>
      </c>
      <c r="B366">
        <v>0</v>
      </c>
      <c r="C366">
        <v>1</v>
      </c>
      <c r="D366">
        <v>130</v>
      </c>
      <c r="E366">
        <v>236</v>
      </c>
      <c r="F366">
        <v>0</v>
      </c>
      <c r="G366">
        <v>0</v>
      </c>
      <c r="H366">
        <v>174</v>
      </c>
      <c r="I366">
        <v>0</v>
      </c>
      <c r="J366">
        <v>0</v>
      </c>
      <c r="K366">
        <v>1</v>
      </c>
      <c r="L366">
        <v>1</v>
      </c>
      <c r="M366">
        <v>2</v>
      </c>
      <c r="N366">
        <v>0</v>
      </c>
      <c r="O366" t="str">
        <f t="shared" si="30"/>
        <v>Female</v>
      </c>
      <c r="P366" t="str">
        <f t="shared" si="31"/>
        <v>No Disease</v>
      </c>
      <c r="Q366" t="str">
        <f t="shared" si="32"/>
        <v>Atypical Angina</v>
      </c>
      <c r="R366" t="str">
        <f t="shared" si="33"/>
        <v>Normal</v>
      </c>
      <c r="S366" t="str">
        <f t="shared" si="34"/>
        <v>No</v>
      </c>
      <c r="T366" t="str" cm="1">
        <f t="array" ref="T366">_xlfn.IFS(A365&lt;30,"18-29",A365&lt;40,"30-39",A365&lt;50,"40-49",A365&lt;60,"50-59",A365&gt;=60,"60+")</f>
        <v>50-59</v>
      </c>
      <c r="U366" t="str">
        <f t="shared" si="35"/>
        <v>High (Stage 1)</v>
      </c>
    </row>
    <row r="367" spans="1:21">
      <c r="A367">
        <v>53</v>
      </c>
      <c r="B367">
        <v>1</v>
      </c>
      <c r="C367">
        <v>2</v>
      </c>
      <c r="D367">
        <v>130</v>
      </c>
      <c r="E367">
        <v>246</v>
      </c>
      <c r="F367">
        <v>1</v>
      </c>
      <c r="G367">
        <v>0</v>
      </c>
      <c r="H367">
        <v>173</v>
      </c>
      <c r="I367">
        <v>0</v>
      </c>
      <c r="J367">
        <v>0</v>
      </c>
      <c r="K367">
        <v>2</v>
      </c>
      <c r="L367">
        <v>3</v>
      </c>
      <c r="M367">
        <v>2</v>
      </c>
      <c r="N367">
        <v>1</v>
      </c>
      <c r="O367" t="str">
        <f t="shared" si="30"/>
        <v>Male</v>
      </c>
      <c r="P367" t="str">
        <f t="shared" si="31"/>
        <v>Heart Disease</v>
      </c>
      <c r="Q367" t="str">
        <f t="shared" si="32"/>
        <v>Non-Anginal Pain</v>
      </c>
      <c r="R367" t="str">
        <f t="shared" si="33"/>
        <v>High</v>
      </c>
      <c r="S367" t="str">
        <f t="shared" si="34"/>
        <v>No</v>
      </c>
      <c r="T367" t="str" cm="1">
        <f t="array" ref="T367">_xlfn.IFS(A366&lt;30,"18-29",A366&lt;40,"30-39",A366&lt;50,"40-49",A366&lt;60,"50-59",A366&gt;=60,"60+")</f>
        <v>50-59</v>
      </c>
      <c r="U367" t="str">
        <f t="shared" si="35"/>
        <v>High (Stage 1)</v>
      </c>
    </row>
    <row r="368" spans="1:21">
      <c r="A368">
        <v>58</v>
      </c>
      <c r="B368">
        <v>1</v>
      </c>
      <c r="C368">
        <v>2</v>
      </c>
      <c r="D368">
        <v>112</v>
      </c>
      <c r="E368">
        <v>230</v>
      </c>
      <c r="F368">
        <v>0</v>
      </c>
      <c r="G368">
        <v>0</v>
      </c>
      <c r="H368">
        <v>165</v>
      </c>
      <c r="I368">
        <v>0</v>
      </c>
      <c r="J368">
        <v>2.5</v>
      </c>
      <c r="K368">
        <v>1</v>
      </c>
      <c r="L368">
        <v>1</v>
      </c>
      <c r="M368">
        <v>3</v>
      </c>
      <c r="N368">
        <v>0</v>
      </c>
      <c r="O368" t="str">
        <f t="shared" si="30"/>
        <v>Male</v>
      </c>
      <c r="P368" t="str">
        <f t="shared" si="31"/>
        <v>No Disease</v>
      </c>
      <c r="Q368" t="str">
        <f t="shared" si="32"/>
        <v>Non-Anginal Pain</v>
      </c>
      <c r="R368" t="str">
        <f t="shared" si="33"/>
        <v>Normal</v>
      </c>
      <c r="S368" t="str">
        <f t="shared" si="34"/>
        <v>No</v>
      </c>
      <c r="T368" t="str" cm="1">
        <f t="array" ref="T368">_xlfn.IFS(A367&lt;30,"18-29",A367&lt;40,"30-39",A367&lt;50,"40-49",A367&lt;60,"50-59",A367&gt;=60,"60+")</f>
        <v>50-59</v>
      </c>
      <c r="U368" t="str">
        <f t="shared" si="35"/>
        <v>Normal</v>
      </c>
    </row>
    <row r="369" spans="1:21">
      <c r="A369">
        <v>48</v>
      </c>
      <c r="B369">
        <v>1</v>
      </c>
      <c r="C369">
        <v>1</v>
      </c>
      <c r="D369">
        <v>110</v>
      </c>
      <c r="E369">
        <v>229</v>
      </c>
      <c r="F369">
        <v>0</v>
      </c>
      <c r="G369">
        <v>1</v>
      </c>
      <c r="H369">
        <v>168</v>
      </c>
      <c r="I369">
        <v>0</v>
      </c>
      <c r="J369">
        <v>1</v>
      </c>
      <c r="K369">
        <v>0</v>
      </c>
      <c r="L369">
        <v>0</v>
      </c>
      <c r="M369">
        <v>3</v>
      </c>
      <c r="N369">
        <v>0</v>
      </c>
      <c r="O369" t="str">
        <f t="shared" si="30"/>
        <v>Male</v>
      </c>
      <c r="P369" t="str">
        <f t="shared" si="31"/>
        <v>No Disease</v>
      </c>
      <c r="Q369" t="str">
        <f t="shared" si="32"/>
        <v>Atypical Angina</v>
      </c>
      <c r="R369" t="str">
        <f t="shared" si="33"/>
        <v>Normal</v>
      </c>
      <c r="S369" t="str">
        <f t="shared" si="34"/>
        <v>No</v>
      </c>
      <c r="T369" t="str" cm="1">
        <f t="array" ref="T369">_xlfn.IFS(A368&lt;30,"18-29",A368&lt;40,"30-39",A368&lt;50,"40-49",A368&lt;60,"50-59",A368&gt;=60,"60+")</f>
        <v>50-59</v>
      </c>
      <c r="U369" t="str">
        <f t="shared" si="35"/>
        <v>Normal</v>
      </c>
    </row>
    <row r="370" spans="1:21">
      <c r="A370">
        <v>58</v>
      </c>
      <c r="B370">
        <v>1</v>
      </c>
      <c r="C370">
        <v>2</v>
      </c>
      <c r="D370">
        <v>105</v>
      </c>
      <c r="E370">
        <v>240</v>
      </c>
      <c r="F370">
        <v>0</v>
      </c>
      <c r="G370">
        <v>0</v>
      </c>
      <c r="H370">
        <v>154</v>
      </c>
      <c r="I370">
        <v>1</v>
      </c>
      <c r="J370">
        <v>0.6</v>
      </c>
      <c r="K370">
        <v>1</v>
      </c>
      <c r="L370">
        <v>0</v>
      </c>
      <c r="M370">
        <v>3</v>
      </c>
      <c r="N370">
        <v>1</v>
      </c>
      <c r="O370" t="str">
        <f t="shared" si="30"/>
        <v>Male</v>
      </c>
      <c r="P370" t="str">
        <f t="shared" si="31"/>
        <v>Heart Disease</v>
      </c>
      <c r="Q370" t="str">
        <f t="shared" si="32"/>
        <v>Non-Anginal Pain</v>
      </c>
      <c r="R370" t="str">
        <f t="shared" si="33"/>
        <v>Normal</v>
      </c>
      <c r="S370" t="str">
        <f t="shared" si="34"/>
        <v>Yes</v>
      </c>
      <c r="T370" t="str" cm="1">
        <f t="array" ref="T370">_xlfn.IFS(A369&lt;30,"18-29",A369&lt;40,"30-39",A369&lt;50,"40-49",A369&lt;60,"50-59",A369&gt;=60,"60+")</f>
        <v>40-49</v>
      </c>
      <c r="U370" t="str">
        <f t="shared" si="35"/>
        <v>Normal</v>
      </c>
    </row>
    <row r="371" spans="1:21">
      <c r="A371">
        <v>51</v>
      </c>
      <c r="B371">
        <v>1</v>
      </c>
      <c r="C371">
        <v>2</v>
      </c>
      <c r="D371">
        <v>110</v>
      </c>
      <c r="E371">
        <v>175</v>
      </c>
      <c r="F371">
        <v>0</v>
      </c>
      <c r="G371">
        <v>1</v>
      </c>
      <c r="H371">
        <v>123</v>
      </c>
      <c r="I371">
        <v>0</v>
      </c>
      <c r="J371">
        <v>0.6</v>
      </c>
      <c r="K371">
        <v>2</v>
      </c>
      <c r="L371">
        <v>0</v>
      </c>
      <c r="M371">
        <v>2</v>
      </c>
      <c r="N371">
        <v>1</v>
      </c>
      <c r="O371" t="str">
        <f t="shared" si="30"/>
        <v>Male</v>
      </c>
      <c r="P371" t="str">
        <f t="shared" si="31"/>
        <v>Heart Disease</v>
      </c>
      <c r="Q371" t="str">
        <f t="shared" si="32"/>
        <v>Non-Anginal Pain</v>
      </c>
      <c r="R371" t="str">
        <f t="shared" si="33"/>
        <v>Normal</v>
      </c>
      <c r="S371" t="str">
        <f t="shared" si="34"/>
        <v>No</v>
      </c>
      <c r="T371" t="str" cm="1">
        <f t="array" ref="T371">_xlfn.IFS(A370&lt;30,"18-29",A370&lt;40,"30-39",A370&lt;50,"40-49",A370&lt;60,"50-59",A370&gt;=60,"60+")</f>
        <v>50-59</v>
      </c>
      <c r="U371" t="str">
        <f t="shared" si="35"/>
        <v>Normal</v>
      </c>
    </row>
    <row r="372" spans="1:21">
      <c r="A372">
        <v>43</v>
      </c>
      <c r="B372">
        <v>0</v>
      </c>
      <c r="C372">
        <v>0</v>
      </c>
      <c r="D372">
        <v>132</v>
      </c>
      <c r="E372">
        <v>341</v>
      </c>
      <c r="F372">
        <v>1</v>
      </c>
      <c r="G372">
        <v>0</v>
      </c>
      <c r="H372">
        <v>136</v>
      </c>
      <c r="I372">
        <v>1</v>
      </c>
      <c r="J372">
        <v>3</v>
      </c>
      <c r="K372">
        <v>1</v>
      </c>
      <c r="L372">
        <v>0</v>
      </c>
      <c r="M372">
        <v>3</v>
      </c>
      <c r="N372">
        <v>0</v>
      </c>
      <c r="O372" t="str">
        <f t="shared" si="30"/>
        <v>Female</v>
      </c>
      <c r="P372" t="str">
        <f t="shared" si="31"/>
        <v>No Disease</v>
      </c>
      <c r="Q372" t="str">
        <f t="shared" si="32"/>
        <v>Typical Angina</v>
      </c>
      <c r="R372" t="str">
        <f t="shared" si="33"/>
        <v>High</v>
      </c>
      <c r="S372" t="str">
        <f t="shared" si="34"/>
        <v>Yes</v>
      </c>
      <c r="T372" t="str" cm="1">
        <f t="array" ref="T372">_xlfn.IFS(A371&lt;30,"18-29",A371&lt;40,"30-39",A371&lt;50,"40-49",A371&lt;60,"50-59",A371&gt;=60,"60+")</f>
        <v>50-59</v>
      </c>
      <c r="U372" t="str">
        <f t="shared" si="35"/>
        <v>High (Stage 1)</v>
      </c>
    </row>
    <row r="373" spans="1:21">
      <c r="A373">
        <v>55</v>
      </c>
      <c r="B373">
        <v>1</v>
      </c>
      <c r="C373">
        <v>0</v>
      </c>
      <c r="D373">
        <v>132</v>
      </c>
      <c r="E373">
        <v>353</v>
      </c>
      <c r="F373">
        <v>0</v>
      </c>
      <c r="G373">
        <v>1</v>
      </c>
      <c r="H373">
        <v>132</v>
      </c>
      <c r="I373">
        <v>1</v>
      </c>
      <c r="J373">
        <v>1.2</v>
      </c>
      <c r="K373">
        <v>1</v>
      </c>
      <c r="L373">
        <v>1</v>
      </c>
      <c r="M373">
        <v>3</v>
      </c>
      <c r="N373">
        <v>0</v>
      </c>
      <c r="O373" t="str">
        <f t="shared" si="30"/>
        <v>Male</v>
      </c>
      <c r="P373" t="str">
        <f t="shared" si="31"/>
        <v>No Disease</v>
      </c>
      <c r="Q373" t="str">
        <f t="shared" si="32"/>
        <v>Typical Angina</v>
      </c>
      <c r="R373" t="str">
        <f t="shared" si="33"/>
        <v>Normal</v>
      </c>
      <c r="S373" t="str">
        <f t="shared" si="34"/>
        <v>Yes</v>
      </c>
      <c r="T373" t="str" cm="1">
        <f t="array" ref="T373">_xlfn.IFS(A372&lt;30,"18-29",A372&lt;40,"30-39",A372&lt;50,"40-49",A372&lt;60,"50-59",A372&gt;=60,"60+")</f>
        <v>40-49</v>
      </c>
      <c r="U373" t="str">
        <f t="shared" si="35"/>
        <v>High (Stage 1)</v>
      </c>
    </row>
    <row r="374" spans="1:21">
      <c r="A374">
        <v>54</v>
      </c>
      <c r="B374">
        <v>0</v>
      </c>
      <c r="C374">
        <v>2</v>
      </c>
      <c r="D374">
        <v>110</v>
      </c>
      <c r="E374">
        <v>214</v>
      </c>
      <c r="F374">
        <v>0</v>
      </c>
      <c r="G374">
        <v>1</v>
      </c>
      <c r="H374">
        <v>158</v>
      </c>
      <c r="I374">
        <v>0</v>
      </c>
      <c r="J374">
        <v>1.6</v>
      </c>
      <c r="K374">
        <v>1</v>
      </c>
      <c r="L374">
        <v>0</v>
      </c>
      <c r="M374">
        <v>2</v>
      </c>
      <c r="N374">
        <v>1</v>
      </c>
      <c r="O374" t="str">
        <f t="shared" si="30"/>
        <v>Female</v>
      </c>
      <c r="P374" t="str">
        <f t="shared" si="31"/>
        <v>Heart Disease</v>
      </c>
      <c r="Q374" t="str">
        <f t="shared" si="32"/>
        <v>Non-Anginal Pain</v>
      </c>
      <c r="R374" t="str">
        <f t="shared" si="33"/>
        <v>Normal</v>
      </c>
      <c r="S374" t="str">
        <f t="shared" si="34"/>
        <v>No</v>
      </c>
      <c r="T374" t="str" cm="1">
        <f t="array" ref="T374">_xlfn.IFS(A373&lt;30,"18-29",A373&lt;40,"30-39",A373&lt;50,"40-49",A373&lt;60,"50-59",A373&gt;=60,"60+")</f>
        <v>50-59</v>
      </c>
      <c r="U374" t="str">
        <f t="shared" si="35"/>
        <v>Normal</v>
      </c>
    </row>
    <row r="375" spans="1:21">
      <c r="A375">
        <v>58</v>
      </c>
      <c r="B375">
        <v>1</v>
      </c>
      <c r="C375">
        <v>1</v>
      </c>
      <c r="D375">
        <v>120</v>
      </c>
      <c r="E375">
        <v>284</v>
      </c>
      <c r="F375">
        <v>0</v>
      </c>
      <c r="G375">
        <v>0</v>
      </c>
      <c r="H375">
        <v>160</v>
      </c>
      <c r="I375">
        <v>0</v>
      </c>
      <c r="J375">
        <v>1.8</v>
      </c>
      <c r="K375">
        <v>1</v>
      </c>
      <c r="L375">
        <v>0</v>
      </c>
      <c r="M375">
        <v>2</v>
      </c>
      <c r="N375">
        <v>0</v>
      </c>
      <c r="O375" t="str">
        <f t="shared" si="30"/>
        <v>Male</v>
      </c>
      <c r="P375" t="str">
        <f t="shared" si="31"/>
        <v>No Disease</v>
      </c>
      <c r="Q375" t="str">
        <f t="shared" si="32"/>
        <v>Atypical Angina</v>
      </c>
      <c r="R375" t="str">
        <f t="shared" si="33"/>
        <v>Normal</v>
      </c>
      <c r="S375" t="str">
        <f t="shared" si="34"/>
        <v>No</v>
      </c>
      <c r="T375" t="str" cm="1">
        <f t="array" ref="T375">_xlfn.IFS(A374&lt;30,"18-29",A374&lt;40,"30-39",A374&lt;50,"40-49",A374&lt;60,"50-59",A374&gt;=60,"60+")</f>
        <v>50-59</v>
      </c>
      <c r="U375" t="str">
        <f t="shared" si="35"/>
        <v>Elevated</v>
      </c>
    </row>
    <row r="376" spans="1:21">
      <c r="A376">
        <v>46</v>
      </c>
      <c r="B376">
        <v>0</v>
      </c>
      <c r="C376">
        <v>2</v>
      </c>
      <c r="D376">
        <v>142</v>
      </c>
      <c r="E376">
        <v>177</v>
      </c>
      <c r="F376">
        <v>0</v>
      </c>
      <c r="G376">
        <v>0</v>
      </c>
      <c r="H376">
        <v>160</v>
      </c>
      <c r="I376">
        <v>1</v>
      </c>
      <c r="J376">
        <v>1.4</v>
      </c>
      <c r="K376">
        <v>0</v>
      </c>
      <c r="L376">
        <v>0</v>
      </c>
      <c r="M376">
        <v>2</v>
      </c>
      <c r="N376">
        <v>1</v>
      </c>
      <c r="O376" t="str">
        <f t="shared" si="30"/>
        <v>Female</v>
      </c>
      <c r="P376" t="str">
        <f t="shared" si="31"/>
        <v>Heart Disease</v>
      </c>
      <c r="Q376" t="str">
        <f t="shared" si="32"/>
        <v>Non-Anginal Pain</v>
      </c>
      <c r="R376" t="str">
        <f t="shared" si="33"/>
        <v>Normal</v>
      </c>
      <c r="S376" t="str">
        <f t="shared" si="34"/>
        <v>Yes</v>
      </c>
      <c r="T376" t="str" cm="1">
        <f t="array" ref="T376">_xlfn.IFS(A375&lt;30,"18-29",A375&lt;40,"30-39",A375&lt;50,"40-49",A375&lt;60,"50-59",A375&gt;=60,"60+")</f>
        <v>50-59</v>
      </c>
      <c r="U376" t="str">
        <f t="shared" si="35"/>
        <v>High (Stage 2)</v>
      </c>
    </row>
    <row r="377" spans="1:21">
      <c r="A377">
        <v>66</v>
      </c>
      <c r="B377">
        <v>1</v>
      </c>
      <c r="C377">
        <v>0</v>
      </c>
      <c r="D377">
        <v>160</v>
      </c>
      <c r="E377">
        <v>228</v>
      </c>
      <c r="F377">
        <v>0</v>
      </c>
      <c r="G377">
        <v>0</v>
      </c>
      <c r="H377">
        <v>138</v>
      </c>
      <c r="I377">
        <v>0</v>
      </c>
      <c r="J377">
        <v>2.2999999999999998</v>
      </c>
      <c r="K377">
        <v>2</v>
      </c>
      <c r="L377">
        <v>0</v>
      </c>
      <c r="M377">
        <v>1</v>
      </c>
      <c r="N377">
        <v>1</v>
      </c>
      <c r="O377" t="str">
        <f t="shared" si="30"/>
        <v>Male</v>
      </c>
      <c r="P377" t="str">
        <f t="shared" si="31"/>
        <v>Heart Disease</v>
      </c>
      <c r="Q377" t="str">
        <f t="shared" si="32"/>
        <v>Typical Angina</v>
      </c>
      <c r="R377" t="str">
        <f t="shared" si="33"/>
        <v>Normal</v>
      </c>
      <c r="S377" t="str">
        <f t="shared" si="34"/>
        <v>No</v>
      </c>
      <c r="T377" t="str" cm="1">
        <f t="array" ref="T377">_xlfn.IFS(A376&lt;30,"18-29",A376&lt;40,"30-39",A376&lt;50,"40-49",A376&lt;60,"50-59",A376&gt;=60,"60+")</f>
        <v>40-49</v>
      </c>
      <c r="U377" t="str">
        <f t="shared" si="35"/>
        <v>High (Stage 2)</v>
      </c>
    </row>
    <row r="378" spans="1:21">
      <c r="A378">
        <v>59</v>
      </c>
      <c r="B378">
        <v>1</v>
      </c>
      <c r="C378">
        <v>1</v>
      </c>
      <c r="D378">
        <v>140</v>
      </c>
      <c r="E378">
        <v>221</v>
      </c>
      <c r="F378">
        <v>0</v>
      </c>
      <c r="G378">
        <v>1</v>
      </c>
      <c r="H378">
        <v>164</v>
      </c>
      <c r="I378">
        <v>1</v>
      </c>
      <c r="J378">
        <v>0</v>
      </c>
      <c r="K378">
        <v>2</v>
      </c>
      <c r="L378">
        <v>0</v>
      </c>
      <c r="M378">
        <v>2</v>
      </c>
      <c r="N378">
        <v>1</v>
      </c>
      <c r="O378" t="str">
        <f t="shared" si="30"/>
        <v>Male</v>
      </c>
      <c r="P378" t="str">
        <f t="shared" si="31"/>
        <v>Heart Disease</v>
      </c>
      <c r="Q378" t="str">
        <f t="shared" si="32"/>
        <v>Atypical Angina</v>
      </c>
      <c r="R378" t="str">
        <f t="shared" si="33"/>
        <v>Normal</v>
      </c>
      <c r="S378" t="str">
        <f t="shared" si="34"/>
        <v>Yes</v>
      </c>
      <c r="T378" t="str" cm="1">
        <f t="array" ref="T378">_xlfn.IFS(A377&lt;30,"18-29",A377&lt;40,"30-39",A377&lt;50,"40-49",A377&lt;60,"50-59",A377&gt;=60,"60+")</f>
        <v>60+</v>
      </c>
      <c r="U378" t="str">
        <f t="shared" si="35"/>
        <v>High (Stage 2)</v>
      </c>
    </row>
    <row r="379" spans="1:21">
      <c r="A379">
        <v>64</v>
      </c>
      <c r="B379">
        <v>0</v>
      </c>
      <c r="C379">
        <v>0</v>
      </c>
      <c r="D379">
        <v>130</v>
      </c>
      <c r="E379">
        <v>303</v>
      </c>
      <c r="F379">
        <v>0</v>
      </c>
      <c r="G379">
        <v>1</v>
      </c>
      <c r="H379">
        <v>122</v>
      </c>
      <c r="I379">
        <v>0</v>
      </c>
      <c r="J379">
        <v>2</v>
      </c>
      <c r="K379">
        <v>1</v>
      </c>
      <c r="L379">
        <v>2</v>
      </c>
      <c r="M379">
        <v>2</v>
      </c>
      <c r="N379">
        <v>1</v>
      </c>
      <c r="O379" t="str">
        <f t="shared" si="30"/>
        <v>Female</v>
      </c>
      <c r="P379" t="str">
        <f t="shared" si="31"/>
        <v>Heart Disease</v>
      </c>
      <c r="Q379" t="str">
        <f t="shared" si="32"/>
        <v>Typical Angina</v>
      </c>
      <c r="R379" t="str">
        <f t="shared" si="33"/>
        <v>Normal</v>
      </c>
      <c r="S379" t="str">
        <f t="shared" si="34"/>
        <v>No</v>
      </c>
      <c r="T379" t="str" cm="1">
        <f t="array" ref="T379">_xlfn.IFS(A378&lt;30,"18-29",A378&lt;40,"30-39",A378&lt;50,"40-49",A378&lt;60,"50-59",A378&gt;=60,"60+")</f>
        <v>50-59</v>
      </c>
      <c r="U379" t="str">
        <f t="shared" si="35"/>
        <v>High (Stage 1)</v>
      </c>
    </row>
    <row r="380" spans="1:21">
      <c r="A380">
        <v>67</v>
      </c>
      <c r="B380">
        <v>1</v>
      </c>
      <c r="C380">
        <v>0</v>
      </c>
      <c r="D380">
        <v>120</v>
      </c>
      <c r="E380">
        <v>237</v>
      </c>
      <c r="F380">
        <v>0</v>
      </c>
      <c r="G380">
        <v>1</v>
      </c>
      <c r="H380">
        <v>71</v>
      </c>
      <c r="I380">
        <v>0</v>
      </c>
      <c r="J380">
        <v>1</v>
      </c>
      <c r="K380">
        <v>1</v>
      </c>
      <c r="L380">
        <v>0</v>
      </c>
      <c r="M380">
        <v>2</v>
      </c>
      <c r="N380">
        <v>0</v>
      </c>
      <c r="O380" t="str">
        <f t="shared" si="30"/>
        <v>Male</v>
      </c>
      <c r="P380" t="str">
        <f t="shared" si="31"/>
        <v>No Disease</v>
      </c>
      <c r="Q380" t="str">
        <f t="shared" si="32"/>
        <v>Typical Angina</v>
      </c>
      <c r="R380" t="str">
        <f t="shared" si="33"/>
        <v>Normal</v>
      </c>
      <c r="S380" t="str">
        <f t="shared" si="34"/>
        <v>No</v>
      </c>
      <c r="T380" t="str" cm="1">
        <f t="array" ref="T380">_xlfn.IFS(A379&lt;30,"18-29",A379&lt;40,"30-39",A379&lt;50,"40-49",A379&lt;60,"50-59",A379&gt;=60,"60+")</f>
        <v>60+</v>
      </c>
      <c r="U380" t="str">
        <f t="shared" si="35"/>
        <v>Elevated</v>
      </c>
    </row>
    <row r="381" spans="1:21">
      <c r="A381">
        <v>52</v>
      </c>
      <c r="B381">
        <v>1</v>
      </c>
      <c r="C381">
        <v>3</v>
      </c>
      <c r="D381">
        <v>118</v>
      </c>
      <c r="E381">
        <v>186</v>
      </c>
      <c r="F381">
        <v>0</v>
      </c>
      <c r="G381">
        <v>0</v>
      </c>
      <c r="H381">
        <v>190</v>
      </c>
      <c r="I381">
        <v>0</v>
      </c>
      <c r="J381">
        <v>0</v>
      </c>
      <c r="K381">
        <v>1</v>
      </c>
      <c r="L381">
        <v>0</v>
      </c>
      <c r="M381">
        <v>1</v>
      </c>
      <c r="N381">
        <v>1</v>
      </c>
      <c r="O381" t="str">
        <f t="shared" si="30"/>
        <v>Male</v>
      </c>
      <c r="P381" t="str">
        <f t="shared" si="31"/>
        <v>Heart Disease</v>
      </c>
      <c r="Q381" t="str">
        <f t="shared" si="32"/>
        <v>Asymptomatic</v>
      </c>
      <c r="R381" t="str">
        <f t="shared" si="33"/>
        <v>Normal</v>
      </c>
      <c r="S381" t="str">
        <f t="shared" si="34"/>
        <v>No</v>
      </c>
      <c r="T381" t="str" cm="1">
        <f t="array" ref="T381">_xlfn.IFS(A380&lt;30,"18-29",A380&lt;40,"30-39",A380&lt;50,"40-49",A380&lt;60,"50-59",A380&gt;=60,"60+")</f>
        <v>60+</v>
      </c>
      <c r="U381" t="str">
        <f t="shared" si="35"/>
        <v>Normal</v>
      </c>
    </row>
    <row r="382" spans="1:21">
      <c r="A382">
        <v>58</v>
      </c>
      <c r="B382">
        <v>1</v>
      </c>
      <c r="C382">
        <v>0</v>
      </c>
      <c r="D382">
        <v>146</v>
      </c>
      <c r="E382">
        <v>218</v>
      </c>
      <c r="F382">
        <v>0</v>
      </c>
      <c r="G382">
        <v>1</v>
      </c>
      <c r="H382">
        <v>105</v>
      </c>
      <c r="I382">
        <v>0</v>
      </c>
      <c r="J382">
        <v>2</v>
      </c>
      <c r="K382">
        <v>1</v>
      </c>
      <c r="L382">
        <v>1</v>
      </c>
      <c r="M382">
        <v>3</v>
      </c>
      <c r="N382">
        <v>0</v>
      </c>
      <c r="O382" t="str">
        <f t="shared" si="30"/>
        <v>Male</v>
      </c>
      <c r="P382" t="str">
        <f t="shared" si="31"/>
        <v>No Disease</v>
      </c>
      <c r="Q382" t="str">
        <f t="shared" si="32"/>
        <v>Typical Angina</v>
      </c>
      <c r="R382" t="str">
        <f t="shared" si="33"/>
        <v>Normal</v>
      </c>
      <c r="S382" t="str">
        <f t="shared" si="34"/>
        <v>No</v>
      </c>
      <c r="T382" t="str" cm="1">
        <f t="array" ref="T382">_xlfn.IFS(A381&lt;30,"18-29",A381&lt;40,"30-39",A381&lt;50,"40-49",A381&lt;60,"50-59",A381&gt;=60,"60+")</f>
        <v>50-59</v>
      </c>
      <c r="U382" t="str">
        <f t="shared" si="35"/>
        <v>High (Stage 2)</v>
      </c>
    </row>
    <row r="383" spans="1:21">
      <c r="A383">
        <v>58</v>
      </c>
      <c r="B383">
        <v>1</v>
      </c>
      <c r="C383">
        <v>2</v>
      </c>
      <c r="D383">
        <v>132</v>
      </c>
      <c r="E383">
        <v>224</v>
      </c>
      <c r="F383">
        <v>0</v>
      </c>
      <c r="G383">
        <v>0</v>
      </c>
      <c r="H383">
        <v>173</v>
      </c>
      <c r="I383">
        <v>0</v>
      </c>
      <c r="J383">
        <v>3.2</v>
      </c>
      <c r="K383">
        <v>2</v>
      </c>
      <c r="L383">
        <v>2</v>
      </c>
      <c r="M383">
        <v>3</v>
      </c>
      <c r="N383">
        <v>0</v>
      </c>
      <c r="O383" t="str">
        <f t="shared" si="30"/>
        <v>Male</v>
      </c>
      <c r="P383" t="str">
        <f t="shared" si="31"/>
        <v>No Disease</v>
      </c>
      <c r="Q383" t="str">
        <f t="shared" si="32"/>
        <v>Non-Anginal Pain</v>
      </c>
      <c r="R383" t="str">
        <f t="shared" si="33"/>
        <v>Normal</v>
      </c>
      <c r="S383" t="str">
        <f t="shared" si="34"/>
        <v>No</v>
      </c>
      <c r="T383" t="str" cm="1">
        <f t="array" ref="T383">_xlfn.IFS(A382&lt;30,"18-29",A382&lt;40,"30-39",A382&lt;50,"40-49",A382&lt;60,"50-59",A382&gt;=60,"60+")</f>
        <v>50-59</v>
      </c>
      <c r="U383" t="str">
        <f t="shared" si="35"/>
        <v>High (Stage 1)</v>
      </c>
    </row>
    <row r="384" spans="1:21">
      <c r="A384">
        <v>59</v>
      </c>
      <c r="B384">
        <v>1</v>
      </c>
      <c r="C384">
        <v>0</v>
      </c>
      <c r="D384">
        <v>110</v>
      </c>
      <c r="E384">
        <v>239</v>
      </c>
      <c r="F384">
        <v>0</v>
      </c>
      <c r="G384">
        <v>0</v>
      </c>
      <c r="H384">
        <v>142</v>
      </c>
      <c r="I384">
        <v>1</v>
      </c>
      <c r="J384">
        <v>1.2</v>
      </c>
      <c r="K384">
        <v>1</v>
      </c>
      <c r="L384">
        <v>1</v>
      </c>
      <c r="M384">
        <v>3</v>
      </c>
      <c r="N384">
        <v>0</v>
      </c>
      <c r="O384" t="str">
        <f t="shared" si="30"/>
        <v>Male</v>
      </c>
      <c r="P384" t="str">
        <f t="shared" si="31"/>
        <v>No Disease</v>
      </c>
      <c r="Q384" t="str">
        <f t="shared" si="32"/>
        <v>Typical Angina</v>
      </c>
      <c r="R384" t="str">
        <f t="shared" si="33"/>
        <v>Normal</v>
      </c>
      <c r="S384" t="str">
        <f t="shared" si="34"/>
        <v>Yes</v>
      </c>
      <c r="T384" t="str" cm="1">
        <f t="array" ref="T384">_xlfn.IFS(A383&lt;30,"18-29",A383&lt;40,"30-39",A383&lt;50,"40-49",A383&lt;60,"50-59",A383&gt;=60,"60+")</f>
        <v>50-59</v>
      </c>
      <c r="U384" t="str">
        <f t="shared" si="35"/>
        <v>Normal</v>
      </c>
    </row>
    <row r="385" spans="1:21">
      <c r="A385">
        <v>58</v>
      </c>
      <c r="B385">
        <v>1</v>
      </c>
      <c r="C385">
        <v>0</v>
      </c>
      <c r="D385">
        <v>150</v>
      </c>
      <c r="E385">
        <v>270</v>
      </c>
      <c r="F385">
        <v>0</v>
      </c>
      <c r="G385">
        <v>0</v>
      </c>
      <c r="H385">
        <v>111</v>
      </c>
      <c r="I385">
        <v>1</v>
      </c>
      <c r="J385">
        <v>0.8</v>
      </c>
      <c r="K385">
        <v>2</v>
      </c>
      <c r="L385">
        <v>0</v>
      </c>
      <c r="M385">
        <v>3</v>
      </c>
      <c r="N385">
        <v>0</v>
      </c>
      <c r="O385" t="str">
        <f t="shared" si="30"/>
        <v>Male</v>
      </c>
      <c r="P385" t="str">
        <f t="shared" si="31"/>
        <v>No Disease</v>
      </c>
      <c r="Q385" t="str">
        <f t="shared" si="32"/>
        <v>Typical Angina</v>
      </c>
      <c r="R385" t="str">
        <f t="shared" si="33"/>
        <v>Normal</v>
      </c>
      <c r="S385" t="str">
        <f t="shared" si="34"/>
        <v>Yes</v>
      </c>
      <c r="T385" t="str" cm="1">
        <f t="array" ref="T385">_xlfn.IFS(A384&lt;30,"18-29",A384&lt;40,"30-39",A384&lt;50,"40-49",A384&lt;60,"50-59",A384&gt;=60,"60+")</f>
        <v>50-59</v>
      </c>
      <c r="U385" t="str">
        <f t="shared" si="35"/>
        <v>High (Stage 2)</v>
      </c>
    </row>
    <row r="386" spans="1:21">
      <c r="A386">
        <v>35</v>
      </c>
      <c r="B386">
        <v>1</v>
      </c>
      <c r="C386">
        <v>0</v>
      </c>
      <c r="D386">
        <v>126</v>
      </c>
      <c r="E386">
        <v>282</v>
      </c>
      <c r="F386">
        <v>0</v>
      </c>
      <c r="G386">
        <v>0</v>
      </c>
      <c r="H386">
        <v>156</v>
      </c>
      <c r="I386">
        <v>1</v>
      </c>
      <c r="J386">
        <v>0</v>
      </c>
      <c r="K386">
        <v>2</v>
      </c>
      <c r="L386">
        <v>0</v>
      </c>
      <c r="M386">
        <v>3</v>
      </c>
      <c r="N386">
        <v>0</v>
      </c>
      <c r="O386" t="str">
        <f t="shared" ref="O386:O449" si="36">IF(B386=1,"Male","Female")</f>
        <v>Male</v>
      </c>
      <c r="P386" t="str">
        <f t="shared" ref="P386:P449" si="37">IF(N386=1,"Heart Disease","No Disease")</f>
        <v>No Disease</v>
      </c>
      <c r="Q386" t="str">
        <f t="shared" ref="Q386:Q449" si="38">IF(C386=0,"Typical Angina",IF(C386=1,"Atypical Angina",IF(C386=2,"Non-Anginal Pain","Asymptomatic")))</f>
        <v>Typical Angina</v>
      </c>
      <c r="R386" t="str">
        <f t="shared" ref="R386:R449" si="39">IF(F386=1,"High","Normal")</f>
        <v>Normal</v>
      </c>
      <c r="S386" t="str">
        <f t="shared" ref="S386:S449" si="40">IF(I386=1,"Yes","No")</f>
        <v>Yes</v>
      </c>
      <c r="T386" t="str" cm="1">
        <f t="array" ref="T386">_xlfn.IFS(A385&lt;30,"18-29",A385&lt;40,"30-39",A385&lt;50,"40-49",A385&lt;60,"50-59",A385&gt;=60,"60+")</f>
        <v>50-59</v>
      </c>
      <c r="U386" t="str">
        <f t="shared" ref="U386:U449" si="41">IF(D386&lt;120,"Normal",IF(D386&lt;130,"Elevated",IF(D386&lt;140,"High (Stage 1)","High (Stage 2)")))</f>
        <v>Elevated</v>
      </c>
    </row>
    <row r="387" spans="1:21">
      <c r="A387">
        <v>51</v>
      </c>
      <c r="B387">
        <v>1</v>
      </c>
      <c r="C387">
        <v>2</v>
      </c>
      <c r="D387">
        <v>110</v>
      </c>
      <c r="E387">
        <v>175</v>
      </c>
      <c r="F387">
        <v>0</v>
      </c>
      <c r="G387">
        <v>1</v>
      </c>
      <c r="H387">
        <v>123</v>
      </c>
      <c r="I387">
        <v>0</v>
      </c>
      <c r="J387">
        <v>0.6</v>
      </c>
      <c r="K387">
        <v>2</v>
      </c>
      <c r="L387">
        <v>0</v>
      </c>
      <c r="M387">
        <v>2</v>
      </c>
      <c r="N387">
        <v>1</v>
      </c>
      <c r="O387" t="str">
        <f t="shared" si="36"/>
        <v>Male</v>
      </c>
      <c r="P387" t="str">
        <f t="shared" si="37"/>
        <v>Heart Disease</v>
      </c>
      <c r="Q387" t="str">
        <f t="shared" si="38"/>
        <v>Non-Anginal Pain</v>
      </c>
      <c r="R387" t="str">
        <f t="shared" si="39"/>
        <v>Normal</v>
      </c>
      <c r="S387" t="str">
        <f t="shared" si="40"/>
        <v>No</v>
      </c>
      <c r="T387" t="str" cm="1">
        <f t="array" ref="T387">_xlfn.IFS(A386&lt;30,"18-29",A386&lt;40,"30-39",A386&lt;50,"40-49",A386&lt;60,"50-59",A386&gt;=60,"60+")</f>
        <v>30-39</v>
      </c>
      <c r="U387" t="str">
        <f t="shared" si="41"/>
        <v>Normal</v>
      </c>
    </row>
    <row r="388" spans="1:21">
      <c r="A388">
        <v>42</v>
      </c>
      <c r="B388">
        <v>0</v>
      </c>
      <c r="C388">
        <v>2</v>
      </c>
      <c r="D388">
        <v>120</v>
      </c>
      <c r="E388">
        <v>209</v>
      </c>
      <c r="F388">
        <v>0</v>
      </c>
      <c r="G388">
        <v>1</v>
      </c>
      <c r="H388">
        <v>173</v>
      </c>
      <c r="I388">
        <v>0</v>
      </c>
      <c r="J388">
        <v>0</v>
      </c>
      <c r="K388">
        <v>1</v>
      </c>
      <c r="L388">
        <v>0</v>
      </c>
      <c r="M388">
        <v>2</v>
      </c>
      <c r="N388">
        <v>1</v>
      </c>
      <c r="O388" t="str">
        <f t="shared" si="36"/>
        <v>Female</v>
      </c>
      <c r="P388" t="str">
        <f t="shared" si="37"/>
        <v>Heart Disease</v>
      </c>
      <c r="Q388" t="str">
        <f t="shared" si="38"/>
        <v>Non-Anginal Pain</v>
      </c>
      <c r="R388" t="str">
        <f t="shared" si="39"/>
        <v>Normal</v>
      </c>
      <c r="S388" t="str">
        <f t="shared" si="40"/>
        <v>No</v>
      </c>
      <c r="T388" t="str" cm="1">
        <f t="array" ref="T388">_xlfn.IFS(A387&lt;30,"18-29",A387&lt;40,"30-39",A387&lt;50,"40-49",A387&lt;60,"50-59",A387&gt;=60,"60+")</f>
        <v>50-59</v>
      </c>
      <c r="U388" t="str">
        <f t="shared" si="41"/>
        <v>Elevated</v>
      </c>
    </row>
    <row r="389" spans="1:21">
      <c r="A389">
        <v>77</v>
      </c>
      <c r="B389">
        <v>1</v>
      </c>
      <c r="C389">
        <v>0</v>
      </c>
      <c r="D389">
        <v>125</v>
      </c>
      <c r="E389">
        <v>304</v>
      </c>
      <c r="F389">
        <v>0</v>
      </c>
      <c r="G389">
        <v>0</v>
      </c>
      <c r="H389">
        <v>162</v>
      </c>
      <c r="I389">
        <v>1</v>
      </c>
      <c r="J389">
        <v>0</v>
      </c>
      <c r="K389">
        <v>2</v>
      </c>
      <c r="L389">
        <v>3</v>
      </c>
      <c r="M389">
        <v>2</v>
      </c>
      <c r="N389">
        <v>0</v>
      </c>
      <c r="O389" t="str">
        <f t="shared" si="36"/>
        <v>Male</v>
      </c>
      <c r="P389" t="str">
        <f t="shared" si="37"/>
        <v>No Disease</v>
      </c>
      <c r="Q389" t="str">
        <f t="shared" si="38"/>
        <v>Typical Angina</v>
      </c>
      <c r="R389" t="str">
        <f t="shared" si="39"/>
        <v>Normal</v>
      </c>
      <c r="S389" t="str">
        <f t="shared" si="40"/>
        <v>Yes</v>
      </c>
      <c r="T389" t="str" cm="1">
        <f t="array" ref="T389">_xlfn.IFS(A388&lt;30,"18-29",A388&lt;40,"30-39",A388&lt;50,"40-49",A388&lt;60,"50-59",A388&gt;=60,"60+")</f>
        <v>40-49</v>
      </c>
      <c r="U389" t="str">
        <f t="shared" si="41"/>
        <v>Elevated</v>
      </c>
    </row>
    <row r="390" spans="1:21">
      <c r="A390">
        <v>64</v>
      </c>
      <c r="B390">
        <v>1</v>
      </c>
      <c r="C390">
        <v>0</v>
      </c>
      <c r="D390">
        <v>120</v>
      </c>
      <c r="E390">
        <v>246</v>
      </c>
      <c r="F390">
        <v>0</v>
      </c>
      <c r="G390">
        <v>0</v>
      </c>
      <c r="H390">
        <v>96</v>
      </c>
      <c r="I390">
        <v>1</v>
      </c>
      <c r="J390">
        <v>2.2000000000000002</v>
      </c>
      <c r="K390">
        <v>0</v>
      </c>
      <c r="L390">
        <v>1</v>
      </c>
      <c r="M390">
        <v>2</v>
      </c>
      <c r="N390">
        <v>0</v>
      </c>
      <c r="O390" t="str">
        <f t="shared" si="36"/>
        <v>Male</v>
      </c>
      <c r="P390" t="str">
        <f t="shared" si="37"/>
        <v>No Disease</v>
      </c>
      <c r="Q390" t="str">
        <f t="shared" si="38"/>
        <v>Typical Angina</v>
      </c>
      <c r="R390" t="str">
        <f t="shared" si="39"/>
        <v>Normal</v>
      </c>
      <c r="S390" t="str">
        <f t="shared" si="40"/>
        <v>Yes</v>
      </c>
      <c r="T390" t="str" cm="1">
        <f t="array" ref="T390">_xlfn.IFS(A389&lt;30,"18-29",A389&lt;40,"30-39",A389&lt;50,"40-49",A389&lt;60,"50-59",A389&gt;=60,"60+")</f>
        <v>60+</v>
      </c>
      <c r="U390" t="str">
        <f t="shared" si="41"/>
        <v>Elevated</v>
      </c>
    </row>
    <row r="391" spans="1:21">
      <c r="A391">
        <v>63</v>
      </c>
      <c r="B391">
        <v>1</v>
      </c>
      <c r="C391">
        <v>3</v>
      </c>
      <c r="D391">
        <v>145</v>
      </c>
      <c r="E391">
        <v>233</v>
      </c>
      <c r="F391">
        <v>1</v>
      </c>
      <c r="G391">
        <v>0</v>
      </c>
      <c r="H391">
        <v>150</v>
      </c>
      <c r="I391">
        <v>0</v>
      </c>
      <c r="J391">
        <v>2.2999999999999998</v>
      </c>
      <c r="K391">
        <v>0</v>
      </c>
      <c r="L391">
        <v>0</v>
      </c>
      <c r="M391">
        <v>1</v>
      </c>
      <c r="N391">
        <v>1</v>
      </c>
      <c r="O391" t="str">
        <f t="shared" si="36"/>
        <v>Male</v>
      </c>
      <c r="P391" t="str">
        <f t="shared" si="37"/>
        <v>Heart Disease</v>
      </c>
      <c r="Q391" t="str">
        <f t="shared" si="38"/>
        <v>Asymptomatic</v>
      </c>
      <c r="R391" t="str">
        <f t="shared" si="39"/>
        <v>High</v>
      </c>
      <c r="S391" t="str">
        <f t="shared" si="40"/>
        <v>No</v>
      </c>
      <c r="T391" t="str" cm="1">
        <f t="array" ref="T391">_xlfn.IFS(A390&lt;30,"18-29",A390&lt;40,"30-39",A390&lt;50,"40-49",A390&lt;60,"50-59",A390&gt;=60,"60+")</f>
        <v>60+</v>
      </c>
      <c r="U391" t="str">
        <f t="shared" si="41"/>
        <v>High (Stage 2)</v>
      </c>
    </row>
    <row r="392" spans="1:21">
      <c r="A392">
        <v>58</v>
      </c>
      <c r="B392">
        <v>0</v>
      </c>
      <c r="C392">
        <v>1</v>
      </c>
      <c r="D392">
        <v>136</v>
      </c>
      <c r="E392">
        <v>319</v>
      </c>
      <c r="F392">
        <v>1</v>
      </c>
      <c r="G392">
        <v>0</v>
      </c>
      <c r="H392">
        <v>152</v>
      </c>
      <c r="I392">
        <v>0</v>
      </c>
      <c r="J392">
        <v>0</v>
      </c>
      <c r="K392">
        <v>2</v>
      </c>
      <c r="L392">
        <v>2</v>
      </c>
      <c r="M392">
        <v>2</v>
      </c>
      <c r="N392">
        <v>0</v>
      </c>
      <c r="O392" t="str">
        <f t="shared" si="36"/>
        <v>Female</v>
      </c>
      <c r="P392" t="str">
        <f t="shared" si="37"/>
        <v>No Disease</v>
      </c>
      <c r="Q392" t="str">
        <f t="shared" si="38"/>
        <v>Atypical Angina</v>
      </c>
      <c r="R392" t="str">
        <f t="shared" si="39"/>
        <v>High</v>
      </c>
      <c r="S392" t="str">
        <f t="shared" si="40"/>
        <v>No</v>
      </c>
      <c r="T392" t="str" cm="1">
        <f t="array" ref="T392">_xlfn.IFS(A391&lt;30,"18-29",A391&lt;40,"30-39",A391&lt;50,"40-49",A391&lt;60,"50-59",A391&gt;=60,"60+")</f>
        <v>60+</v>
      </c>
      <c r="U392" t="str">
        <f t="shared" si="41"/>
        <v>High (Stage 1)</v>
      </c>
    </row>
    <row r="393" spans="1:21">
      <c r="A393">
        <v>45</v>
      </c>
      <c r="B393">
        <v>1</v>
      </c>
      <c r="C393">
        <v>3</v>
      </c>
      <c r="D393">
        <v>110</v>
      </c>
      <c r="E393">
        <v>264</v>
      </c>
      <c r="F393">
        <v>0</v>
      </c>
      <c r="G393">
        <v>1</v>
      </c>
      <c r="H393">
        <v>132</v>
      </c>
      <c r="I393">
        <v>0</v>
      </c>
      <c r="J393">
        <v>1.2</v>
      </c>
      <c r="K393">
        <v>1</v>
      </c>
      <c r="L393">
        <v>0</v>
      </c>
      <c r="M393">
        <v>3</v>
      </c>
      <c r="N393">
        <v>0</v>
      </c>
      <c r="O393" t="str">
        <f t="shared" si="36"/>
        <v>Male</v>
      </c>
      <c r="P393" t="str">
        <f t="shared" si="37"/>
        <v>No Disease</v>
      </c>
      <c r="Q393" t="str">
        <f t="shared" si="38"/>
        <v>Asymptomatic</v>
      </c>
      <c r="R393" t="str">
        <f t="shared" si="39"/>
        <v>Normal</v>
      </c>
      <c r="S393" t="str">
        <f t="shared" si="40"/>
        <v>No</v>
      </c>
      <c r="T393" t="str" cm="1">
        <f t="array" ref="T393">_xlfn.IFS(A392&lt;30,"18-29",A392&lt;40,"30-39",A392&lt;50,"40-49",A392&lt;60,"50-59",A392&gt;=60,"60+")</f>
        <v>50-59</v>
      </c>
      <c r="U393" t="str">
        <f t="shared" si="41"/>
        <v>Normal</v>
      </c>
    </row>
    <row r="394" spans="1:21">
      <c r="A394">
        <v>51</v>
      </c>
      <c r="B394">
        <v>1</v>
      </c>
      <c r="C394">
        <v>2</v>
      </c>
      <c r="D394">
        <v>110</v>
      </c>
      <c r="E394">
        <v>175</v>
      </c>
      <c r="F394">
        <v>0</v>
      </c>
      <c r="G394">
        <v>1</v>
      </c>
      <c r="H394">
        <v>123</v>
      </c>
      <c r="I394">
        <v>0</v>
      </c>
      <c r="J394">
        <v>0.6</v>
      </c>
      <c r="K394">
        <v>2</v>
      </c>
      <c r="L394">
        <v>0</v>
      </c>
      <c r="M394">
        <v>2</v>
      </c>
      <c r="N394">
        <v>1</v>
      </c>
      <c r="O394" t="str">
        <f t="shared" si="36"/>
        <v>Male</v>
      </c>
      <c r="P394" t="str">
        <f t="shared" si="37"/>
        <v>Heart Disease</v>
      </c>
      <c r="Q394" t="str">
        <f t="shared" si="38"/>
        <v>Non-Anginal Pain</v>
      </c>
      <c r="R394" t="str">
        <f t="shared" si="39"/>
        <v>Normal</v>
      </c>
      <c r="S394" t="str">
        <f t="shared" si="40"/>
        <v>No</v>
      </c>
      <c r="T394" t="str" cm="1">
        <f t="array" ref="T394">_xlfn.IFS(A393&lt;30,"18-29",A393&lt;40,"30-39",A393&lt;50,"40-49",A393&lt;60,"50-59",A393&gt;=60,"60+")</f>
        <v>40-49</v>
      </c>
      <c r="U394" t="str">
        <f t="shared" si="41"/>
        <v>Normal</v>
      </c>
    </row>
    <row r="395" spans="1:21">
      <c r="A395">
        <v>62</v>
      </c>
      <c r="B395">
        <v>0</v>
      </c>
      <c r="C395">
        <v>0</v>
      </c>
      <c r="D395">
        <v>160</v>
      </c>
      <c r="E395">
        <v>164</v>
      </c>
      <c r="F395">
        <v>0</v>
      </c>
      <c r="G395">
        <v>0</v>
      </c>
      <c r="H395">
        <v>145</v>
      </c>
      <c r="I395">
        <v>0</v>
      </c>
      <c r="J395">
        <v>6.2</v>
      </c>
      <c r="K395">
        <v>0</v>
      </c>
      <c r="L395">
        <v>3</v>
      </c>
      <c r="M395">
        <v>3</v>
      </c>
      <c r="N395">
        <v>0</v>
      </c>
      <c r="O395" t="str">
        <f t="shared" si="36"/>
        <v>Female</v>
      </c>
      <c r="P395" t="str">
        <f t="shared" si="37"/>
        <v>No Disease</v>
      </c>
      <c r="Q395" t="str">
        <f t="shared" si="38"/>
        <v>Typical Angina</v>
      </c>
      <c r="R395" t="str">
        <f t="shared" si="39"/>
        <v>Normal</v>
      </c>
      <c r="S395" t="str">
        <f t="shared" si="40"/>
        <v>No</v>
      </c>
      <c r="T395" t="str" cm="1">
        <f t="array" ref="T395">_xlfn.IFS(A394&lt;30,"18-29",A394&lt;40,"30-39",A394&lt;50,"40-49",A394&lt;60,"50-59",A394&gt;=60,"60+")</f>
        <v>50-59</v>
      </c>
      <c r="U395" t="str">
        <f t="shared" si="41"/>
        <v>High (Stage 2)</v>
      </c>
    </row>
    <row r="396" spans="1:21">
      <c r="A396">
        <v>63</v>
      </c>
      <c r="B396">
        <v>1</v>
      </c>
      <c r="C396">
        <v>0</v>
      </c>
      <c r="D396">
        <v>130</v>
      </c>
      <c r="E396">
        <v>330</v>
      </c>
      <c r="F396">
        <v>1</v>
      </c>
      <c r="G396">
        <v>0</v>
      </c>
      <c r="H396">
        <v>132</v>
      </c>
      <c r="I396">
        <v>1</v>
      </c>
      <c r="J396">
        <v>1.8</v>
      </c>
      <c r="K396">
        <v>2</v>
      </c>
      <c r="L396">
        <v>3</v>
      </c>
      <c r="M396">
        <v>3</v>
      </c>
      <c r="N396">
        <v>0</v>
      </c>
      <c r="O396" t="str">
        <f t="shared" si="36"/>
        <v>Male</v>
      </c>
      <c r="P396" t="str">
        <f t="shared" si="37"/>
        <v>No Disease</v>
      </c>
      <c r="Q396" t="str">
        <f t="shared" si="38"/>
        <v>Typical Angina</v>
      </c>
      <c r="R396" t="str">
        <f t="shared" si="39"/>
        <v>High</v>
      </c>
      <c r="S396" t="str">
        <f t="shared" si="40"/>
        <v>Yes</v>
      </c>
      <c r="T396" t="str" cm="1">
        <f t="array" ref="T396">_xlfn.IFS(A395&lt;30,"18-29",A395&lt;40,"30-39",A395&lt;50,"40-49",A395&lt;60,"50-59",A395&gt;=60,"60+")</f>
        <v>60+</v>
      </c>
      <c r="U396" t="str">
        <f t="shared" si="41"/>
        <v>High (Stage 1)</v>
      </c>
    </row>
    <row r="397" spans="1:21">
      <c r="A397">
        <v>66</v>
      </c>
      <c r="B397">
        <v>0</v>
      </c>
      <c r="C397">
        <v>2</v>
      </c>
      <c r="D397">
        <v>146</v>
      </c>
      <c r="E397">
        <v>278</v>
      </c>
      <c r="F397">
        <v>0</v>
      </c>
      <c r="G397">
        <v>0</v>
      </c>
      <c r="H397">
        <v>152</v>
      </c>
      <c r="I397">
        <v>0</v>
      </c>
      <c r="J397">
        <v>0</v>
      </c>
      <c r="K397">
        <v>1</v>
      </c>
      <c r="L397">
        <v>1</v>
      </c>
      <c r="M397">
        <v>2</v>
      </c>
      <c r="N397">
        <v>1</v>
      </c>
      <c r="O397" t="str">
        <f t="shared" si="36"/>
        <v>Female</v>
      </c>
      <c r="P397" t="str">
        <f t="shared" si="37"/>
        <v>Heart Disease</v>
      </c>
      <c r="Q397" t="str">
        <f t="shared" si="38"/>
        <v>Non-Anginal Pain</v>
      </c>
      <c r="R397" t="str">
        <f t="shared" si="39"/>
        <v>Normal</v>
      </c>
      <c r="S397" t="str">
        <f t="shared" si="40"/>
        <v>No</v>
      </c>
      <c r="T397" t="str" cm="1">
        <f t="array" ref="T397">_xlfn.IFS(A396&lt;30,"18-29",A396&lt;40,"30-39",A396&lt;50,"40-49",A396&lt;60,"50-59",A396&gt;=60,"60+")</f>
        <v>60+</v>
      </c>
      <c r="U397" t="str">
        <f t="shared" si="41"/>
        <v>High (Stage 2)</v>
      </c>
    </row>
    <row r="398" spans="1:21">
      <c r="A398">
        <v>68</v>
      </c>
      <c r="B398">
        <v>1</v>
      </c>
      <c r="C398">
        <v>2</v>
      </c>
      <c r="D398">
        <v>180</v>
      </c>
      <c r="E398">
        <v>274</v>
      </c>
      <c r="F398">
        <v>1</v>
      </c>
      <c r="G398">
        <v>0</v>
      </c>
      <c r="H398">
        <v>150</v>
      </c>
      <c r="I398">
        <v>1</v>
      </c>
      <c r="J398">
        <v>1.6</v>
      </c>
      <c r="K398">
        <v>1</v>
      </c>
      <c r="L398">
        <v>0</v>
      </c>
      <c r="M398">
        <v>3</v>
      </c>
      <c r="N398">
        <v>0</v>
      </c>
      <c r="O398" t="str">
        <f t="shared" si="36"/>
        <v>Male</v>
      </c>
      <c r="P398" t="str">
        <f t="shared" si="37"/>
        <v>No Disease</v>
      </c>
      <c r="Q398" t="str">
        <f t="shared" si="38"/>
        <v>Non-Anginal Pain</v>
      </c>
      <c r="R398" t="str">
        <f t="shared" si="39"/>
        <v>High</v>
      </c>
      <c r="S398" t="str">
        <f t="shared" si="40"/>
        <v>Yes</v>
      </c>
      <c r="T398" t="str" cm="1">
        <f t="array" ref="T398">_xlfn.IFS(A397&lt;30,"18-29",A397&lt;40,"30-39",A397&lt;50,"40-49",A397&lt;60,"50-59",A397&gt;=60,"60+")</f>
        <v>60+</v>
      </c>
      <c r="U398" t="str">
        <f t="shared" si="41"/>
        <v>High (Stage 2)</v>
      </c>
    </row>
    <row r="399" spans="1:21">
      <c r="A399">
        <v>40</v>
      </c>
      <c r="B399">
        <v>1</v>
      </c>
      <c r="C399">
        <v>0</v>
      </c>
      <c r="D399">
        <v>110</v>
      </c>
      <c r="E399">
        <v>167</v>
      </c>
      <c r="F399">
        <v>0</v>
      </c>
      <c r="G399">
        <v>0</v>
      </c>
      <c r="H399">
        <v>114</v>
      </c>
      <c r="I399">
        <v>1</v>
      </c>
      <c r="J399">
        <v>2</v>
      </c>
      <c r="K399">
        <v>1</v>
      </c>
      <c r="L399">
        <v>0</v>
      </c>
      <c r="M399">
        <v>3</v>
      </c>
      <c r="N399">
        <v>0</v>
      </c>
      <c r="O399" t="str">
        <f t="shared" si="36"/>
        <v>Male</v>
      </c>
      <c r="P399" t="str">
        <f t="shared" si="37"/>
        <v>No Disease</v>
      </c>
      <c r="Q399" t="str">
        <f t="shared" si="38"/>
        <v>Typical Angina</v>
      </c>
      <c r="R399" t="str">
        <f t="shared" si="39"/>
        <v>Normal</v>
      </c>
      <c r="S399" t="str">
        <f t="shared" si="40"/>
        <v>Yes</v>
      </c>
      <c r="T399" t="str" cm="1">
        <f t="array" ref="T399">_xlfn.IFS(A398&lt;30,"18-29",A398&lt;40,"30-39",A398&lt;50,"40-49",A398&lt;60,"50-59",A398&gt;=60,"60+")</f>
        <v>60+</v>
      </c>
      <c r="U399" t="str">
        <f t="shared" si="41"/>
        <v>Normal</v>
      </c>
    </row>
    <row r="400" spans="1:21">
      <c r="A400">
        <v>66</v>
      </c>
      <c r="B400">
        <v>1</v>
      </c>
      <c r="C400">
        <v>0</v>
      </c>
      <c r="D400">
        <v>160</v>
      </c>
      <c r="E400">
        <v>228</v>
      </c>
      <c r="F400">
        <v>0</v>
      </c>
      <c r="G400">
        <v>0</v>
      </c>
      <c r="H400">
        <v>138</v>
      </c>
      <c r="I400">
        <v>0</v>
      </c>
      <c r="J400">
        <v>2.2999999999999998</v>
      </c>
      <c r="K400">
        <v>2</v>
      </c>
      <c r="L400">
        <v>0</v>
      </c>
      <c r="M400">
        <v>1</v>
      </c>
      <c r="N400">
        <v>1</v>
      </c>
      <c r="O400" t="str">
        <f t="shared" si="36"/>
        <v>Male</v>
      </c>
      <c r="P400" t="str">
        <f t="shared" si="37"/>
        <v>Heart Disease</v>
      </c>
      <c r="Q400" t="str">
        <f t="shared" si="38"/>
        <v>Typical Angina</v>
      </c>
      <c r="R400" t="str">
        <f t="shared" si="39"/>
        <v>Normal</v>
      </c>
      <c r="S400" t="str">
        <f t="shared" si="40"/>
        <v>No</v>
      </c>
      <c r="T400" t="str" cm="1">
        <f t="array" ref="T400">_xlfn.IFS(A399&lt;30,"18-29",A399&lt;40,"30-39",A399&lt;50,"40-49",A399&lt;60,"50-59",A399&gt;=60,"60+")</f>
        <v>40-49</v>
      </c>
      <c r="U400" t="str">
        <f t="shared" si="41"/>
        <v>High (Stage 2)</v>
      </c>
    </row>
    <row r="401" spans="1:21">
      <c r="A401">
        <v>63</v>
      </c>
      <c r="B401">
        <v>1</v>
      </c>
      <c r="C401">
        <v>3</v>
      </c>
      <c r="D401">
        <v>145</v>
      </c>
      <c r="E401">
        <v>233</v>
      </c>
      <c r="F401">
        <v>1</v>
      </c>
      <c r="G401">
        <v>0</v>
      </c>
      <c r="H401">
        <v>150</v>
      </c>
      <c r="I401">
        <v>0</v>
      </c>
      <c r="J401">
        <v>2.2999999999999998</v>
      </c>
      <c r="K401">
        <v>0</v>
      </c>
      <c r="L401">
        <v>0</v>
      </c>
      <c r="M401">
        <v>1</v>
      </c>
      <c r="N401">
        <v>1</v>
      </c>
      <c r="O401" t="str">
        <f t="shared" si="36"/>
        <v>Male</v>
      </c>
      <c r="P401" t="str">
        <f t="shared" si="37"/>
        <v>Heart Disease</v>
      </c>
      <c r="Q401" t="str">
        <f t="shared" si="38"/>
        <v>Asymptomatic</v>
      </c>
      <c r="R401" t="str">
        <f t="shared" si="39"/>
        <v>High</v>
      </c>
      <c r="S401" t="str">
        <f t="shared" si="40"/>
        <v>No</v>
      </c>
      <c r="T401" t="str" cm="1">
        <f t="array" ref="T401">_xlfn.IFS(A400&lt;30,"18-29",A400&lt;40,"30-39",A400&lt;50,"40-49",A400&lt;60,"50-59",A400&gt;=60,"60+")</f>
        <v>60+</v>
      </c>
      <c r="U401" t="str">
        <f t="shared" si="41"/>
        <v>High (Stage 2)</v>
      </c>
    </row>
    <row r="402" spans="1:21">
      <c r="A402">
        <v>49</v>
      </c>
      <c r="B402">
        <v>1</v>
      </c>
      <c r="C402">
        <v>2</v>
      </c>
      <c r="D402">
        <v>120</v>
      </c>
      <c r="E402">
        <v>188</v>
      </c>
      <c r="F402">
        <v>0</v>
      </c>
      <c r="G402">
        <v>1</v>
      </c>
      <c r="H402">
        <v>139</v>
      </c>
      <c r="I402">
        <v>0</v>
      </c>
      <c r="J402">
        <v>2</v>
      </c>
      <c r="K402">
        <v>1</v>
      </c>
      <c r="L402">
        <v>3</v>
      </c>
      <c r="M402">
        <v>3</v>
      </c>
      <c r="N402">
        <v>0</v>
      </c>
      <c r="O402" t="str">
        <f t="shared" si="36"/>
        <v>Male</v>
      </c>
      <c r="P402" t="str">
        <f t="shared" si="37"/>
        <v>No Disease</v>
      </c>
      <c r="Q402" t="str">
        <f t="shared" si="38"/>
        <v>Non-Anginal Pain</v>
      </c>
      <c r="R402" t="str">
        <f t="shared" si="39"/>
        <v>Normal</v>
      </c>
      <c r="S402" t="str">
        <f t="shared" si="40"/>
        <v>No</v>
      </c>
      <c r="T402" t="str" cm="1">
        <f t="array" ref="T402">_xlfn.IFS(A401&lt;30,"18-29",A401&lt;40,"30-39",A401&lt;50,"40-49",A401&lt;60,"50-59",A401&gt;=60,"60+")</f>
        <v>60+</v>
      </c>
      <c r="U402" t="str">
        <f t="shared" si="41"/>
        <v>Elevated</v>
      </c>
    </row>
    <row r="403" spans="1:21">
      <c r="A403">
        <v>71</v>
      </c>
      <c r="B403">
        <v>0</v>
      </c>
      <c r="C403">
        <v>0</v>
      </c>
      <c r="D403">
        <v>112</v>
      </c>
      <c r="E403">
        <v>149</v>
      </c>
      <c r="F403">
        <v>0</v>
      </c>
      <c r="G403">
        <v>1</v>
      </c>
      <c r="H403">
        <v>125</v>
      </c>
      <c r="I403">
        <v>0</v>
      </c>
      <c r="J403">
        <v>1.6</v>
      </c>
      <c r="K403">
        <v>1</v>
      </c>
      <c r="L403">
        <v>0</v>
      </c>
      <c r="M403">
        <v>2</v>
      </c>
      <c r="N403">
        <v>1</v>
      </c>
      <c r="O403" t="str">
        <f t="shared" si="36"/>
        <v>Female</v>
      </c>
      <c r="P403" t="str">
        <f t="shared" si="37"/>
        <v>Heart Disease</v>
      </c>
      <c r="Q403" t="str">
        <f t="shared" si="38"/>
        <v>Typical Angina</v>
      </c>
      <c r="R403" t="str">
        <f t="shared" si="39"/>
        <v>Normal</v>
      </c>
      <c r="S403" t="str">
        <f t="shared" si="40"/>
        <v>No</v>
      </c>
      <c r="T403" t="str" cm="1">
        <f t="array" ref="T403">_xlfn.IFS(A402&lt;30,"18-29",A402&lt;40,"30-39",A402&lt;50,"40-49",A402&lt;60,"50-59",A402&gt;=60,"60+")</f>
        <v>40-49</v>
      </c>
      <c r="U403" t="str">
        <f t="shared" si="41"/>
        <v>Normal</v>
      </c>
    </row>
    <row r="404" spans="1:21">
      <c r="A404">
        <v>70</v>
      </c>
      <c r="B404">
        <v>1</v>
      </c>
      <c r="C404">
        <v>1</v>
      </c>
      <c r="D404">
        <v>156</v>
      </c>
      <c r="E404">
        <v>245</v>
      </c>
      <c r="F404">
        <v>0</v>
      </c>
      <c r="G404">
        <v>0</v>
      </c>
      <c r="H404">
        <v>143</v>
      </c>
      <c r="I404">
        <v>0</v>
      </c>
      <c r="J404">
        <v>0</v>
      </c>
      <c r="K404">
        <v>2</v>
      </c>
      <c r="L404">
        <v>0</v>
      </c>
      <c r="M404">
        <v>2</v>
      </c>
      <c r="N404">
        <v>1</v>
      </c>
      <c r="O404" t="str">
        <f t="shared" si="36"/>
        <v>Male</v>
      </c>
      <c r="P404" t="str">
        <f t="shared" si="37"/>
        <v>Heart Disease</v>
      </c>
      <c r="Q404" t="str">
        <f t="shared" si="38"/>
        <v>Atypical Angina</v>
      </c>
      <c r="R404" t="str">
        <f t="shared" si="39"/>
        <v>Normal</v>
      </c>
      <c r="S404" t="str">
        <f t="shared" si="40"/>
        <v>No</v>
      </c>
      <c r="T404" t="str" cm="1">
        <f t="array" ref="T404">_xlfn.IFS(A403&lt;30,"18-29",A403&lt;40,"30-39",A403&lt;50,"40-49",A403&lt;60,"50-59",A403&gt;=60,"60+")</f>
        <v>60+</v>
      </c>
      <c r="U404" t="str">
        <f t="shared" si="41"/>
        <v>High (Stage 2)</v>
      </c>
    </row>
    <row r="405" spans="1:21">
      <c r="A405">
        <v>46</v>
      </c>
      <c r="B405">
        <v>0</v>
      </c>
      <c r="C405">
        <v>1</v>
      </c>
      <c r="D405">
        <v>105</v>
      </c>
      <c r="E405">
        <v>204</v>
      </c>
      <c r="F405">
        <v>0</v>
      </c>
      <c r="G405">
        <v>1</v>
      </c>
      <c r="H405">
        <v>172</v>
      </c>
      <c r="I405">
        <v>0</v>
      </c>
      <c r="J405">
        <v>0</v>
      </c>
      <c r="K405">
        <v>2</v>
      </c>
      <c r="L405">
        <v>0</v>
      </c>
      <c r="M405">
        <v>2</v>
      </c>
      <c r="N405">
        <v>1</v>
      </c>
      <c r="O405" t="str">
        <f t="shared" si="36"/>
        <v>Female</v>
      </c>
      <c r="P405" t="str">
        <f t="shared" si="37"/>
        <v>Heart Disease</v>
      </c>
      <c r="Q405" t="str">
        <f t="shared" si="38"/>
        <v>Atypical Angina</v>
      </c>
      <c r="R405" t="str">
        <f t="shared" si="39"/>
        <v>Normal</v>
      </c>
      <c r="S405" t="str">
        <f t="shared" si="40"/>
        <v>No</v>
      </c>
      <c r="T405" t="str" cm="1">
        <f t="array" ref="T405">_xlfn.IFS(A404&lt;30,"18-29",A404&lt;40,"30-39",A404&lt;50,"40-49",A404&lt;60,"50-59",A404&gt;=60,"60+")</f>
        <v>60+</v>
      </c>
      <c r="U405" t="str">
        <f t="shared" si="41"/>
        <v>Normal</v>
      </c>
    </row>
    <row r="406" spans="1:21">
      <c r="A406">
        <v>61</v>
      </c>
      <c r="B406">
        <v>1</v>
      </c>
      <c r="C406">
        <v>0</v>
      </c>
      <c r="D406">
        <v>140</v>
      </c>
      <c r="E406">
        <v>207</v>
      </c>
      <c r="F406">
        <v>0</v>
      </c>
      <c r="G406">
        <v>0</v>
      </c>
      <c r="H406">
        <v>138</v>
      </c>
      <c r="I406">
        <v>1</v>
      </c>
      <c r="J406">
        <v>1.9</v>
      </c>
      <c r="K406">
        <v>2</v>
      </c>
      <c r="L406">
        <v>1</v>
      </c>
      <c r="M406">
        <v>3</v>
      </c>
      <c r="N406">
        <v>0</v>
      </c>
      <c r="O406" t="str">
        <f t="shared" si="36"/>
        <v>Male</v>
      </c>
      <c r="P406" t="str">
        <f t="shared" si="37"/>
        <v>No Disease</v>
      </c>
      <c r="Q406" t="str">
        <f t="shared" si="38"/>
        <v>Typical Angina</v>
      </c>
      <c r="R406" t="str">
        <f t="shared" si="39"/>
        <v>Normal</v>
      </c>
      <c r="S406" t="str">
        <f t="shared" si="40"/>
        <v>Yes</v>
      </c>
      <c r="T406" t="str" cm="1">
        <f t="array" ref="T406">_xlfn.IFS(A405&lt;30,"18-29",A405&lt;40,"30-39",A405&lt;50,"40-49",A405&lt;60,"50-59",A405&gt;=60,"60+")</f>
        <v>40-49</v>
      </c>
      <c r="U406" t="str">
        <f t="shared" si="41"/>
        <v>High (Stage 2)</v>
      </c>
    </row>
    <row r="407" spans="1:21">
      <c r="A407">
        <v>56</v>
      </c>
      <c r="B407">
        <v>1</v>
      </c>
      <c r="C407">
        <v>2</v>
      </c>
      <c r="D407">
        <v>130</v>
      </c>
      <c r="E407">
        <v>256</v>
      </c>
      <c r="F407">
        <v>1</v>
      </c>
      <c r="G407">
        <v>0</v>
      </c>
      <c r="H407">
        <v>142</v>
      </c>
      <c r="I407">
        <v>1</v>
      </c>
      <c r="J407">
        <v>0.6</v>
      </c>
      <c r="K407">
        <v>1</v>
      </c>
      <c r="L407">
        <v>1</v>
      </c>
      <c r="M407">
        <v>1</v>
      </c>
      <c r="N407">
        <v>0</v>
      </c>
      <c r="O407" t="str">
        <f t="shared" si="36"/>
        <v>Male</v>
      </c>
      <c r="P407" t="str">
        <f t="shared" si="37"/>
        <v>No Disease</v>
      </c>
      <c r="Q407" t="str">
        <f t="shared" si="38"/>
        <v>Non-Anginal Pain</v>
      </c>
      <c r="R407" t="str">
        <f t="shared" si="39"/>
        <v>High</v>
      </c>
      <c r="S407" t="str">
        <f t="shared" si="40"/>
        <v>Yes</v>
      </c>
      <c r="T407" t="str" cm="1">
        <f t="array" ref="T407">_xlfn.IFS(A406&lt;30,"18-29",A406&lt;40,"30-39",A406&lt;50,"40-49",A406&lt;60,"50-59",A406&gt;=60,"60+")</f>
        <v>60+</v>
      </c>
      <c r="U407" t="str">
        <f t="shared" si="41"/>
        <v>High (Stage 1)</v>
      </c>
    </row>
    <row r="408" spans="1:21">
      <c r="A408">
        <v>58</v>
      </c>
      <c r="B408">
        <v>1</v>
      </c>
      <c r="C408">
        <v>2</v>
      </c>
      <c r="D408">
        <v>140</v>
      </c>
      <c r="E408">
        <v>211</v>
      </c>
      <c r="F408">
        <v>1</v>
      </c>
      <c r="G408">
        <v>0</v>
      </c>
      <c r="H408">
        <v>165</v>
      </c>
      <c r="I408">
        <v>0</v>
      </c>
      <c r="J408">
        <v>0</v>
      </c>
      <c r="K408">
        <v>2</v>
      </c>
      <c r="L408">
        <v>0</v>
      </c>
      <c r="M408">
        <v>2</v>
      </c>
      <c r="N408">
        <v>1</v>
      </c>
      <c r="O408" t="str">
        <f t="shared" si="36"/>
        <v>Male</v>
      </c>
      <c r="P408" t="str">
        <f t="shared" si="37"/>
        <v>Heart Disease</v>
      </c>
      <c r="Q408" t="str">
        <f t="shared" si="38"/>
        <v>Non-Anginal Pain</v>
      </c>
      <c r="R408" t="str">
        <f t="shared" si="39"/>
        <v>High</v>
      </c>
      <c r="S408" t="str">
        <f t="shared" si="40"/>
        <v>No</v>
      </c>
      <c r="T408" t="str" cm="1">
        <f t="array" ref="T408">_xlfn.IFS(A407&lt;30,"18-29",A407&lt;40,"30-39",A407&lt;50,"40-49",A407&lt;60,"50-59",A407&gt;=60,"60+")</f>
        <v>50-59</v>
      </c>
      <c r="U408" t="str">
        <f t="shared" si="41"/>
        <v>High (Stage 2)</v>
      </c>
    </row>
    <row r="409" spans="1:21">
      <c r="A409">
        <v>58</v>
      </c>
      <c r="B409">
        <v>1</v>
      </c>
      <c r="C409">
        <v>0</v>
      </c>
      <c r="D409">
        <v>100</v>
      </c>
      <c r="E409">
        <v>234</v>
      </c>
      <c r="F409">
        <v>0</v>
      </c>
      <c r="G409">
        <v>1</v>
      </c>
      <c r="H409">
        <v>156</v>
      </c>
      <c r="I409">
        <v>0</v>
      </c>
      <c r="J409">
        <v>0.1</v>
      </c>
      <c r="K409">
        <v>2</v>
      </c>
      <c r="L409">
        <v>1</v>
      </c>
      <c r="M409">
        <v>3</v>
      </c>
      <c r="N409">
        <v>0</v>
      </c>
      <c r="O409" t="str">
        <f t="shared" si="36"/>
        <v>Male</v>
      </c>
      <c r="P409" t="str">
        <f t="shared" si="37"/>
        <v>No Disease</v>
      </c>
      <c r="Q409" t="str">
        <f t="shared" si="38"/>
        <v>Typical Angina</v>
      </c>
      <c r="R409" t="str">
        <f t="shared" si="39"/>
        <v>Normal</v>
      </c>
      <c r="S409" t="str">
        <f t="shared" si="40"/>
        <v>No</v>
      </c>
      <c r="T409" t="str" cm="1">
        <f t="array" ref="T409">_xlfn.IFS(A408&lt;30,"18-29",A408&lt;40,"30-39",A408&lt;50,"40-49",A408&lt;60,"50-59",A408&gt;=60,"60+")</f>
        <v>50-59</v>
      </c>
      <c r="U409" t="str">
        <f t="shared" si="41"/>
        <v>Normal</v>
      </c>
    </row>
    <row r="410" spans="1:21">
      <c r="A410">
        <v>46</v>
      </c>
      <c r="B410">
        <v>0</v>
      </c>
      <c r="C410">
        <v>0</v>
      </c>
      <c r="D410">
        <v>138</v>
      </c>
      <c r="E410">
        <v>243</v>
      </c>
      <c r="F410">
        <v>0</v>
      </c>
      <c r="G410">
        <v>0</v>
      </c>
      <c r="H410">
        <v>152</v>
      </c>
      <c r="I410">
        <v>1</v>
      </c>
      <c r="J410">
        <v>0</v>
      </c>
      <c r="K410">
        <v>1</v>
      </c>
      <c r="L410">
        <v>0</v>
      </c>
      <c r="M410">
        <v>2</v>
      </c>
      <c r="N410">
        <v>1</v>
      </c>
      <c r="O410" t="str">
        <f t="shared" si="36"/>
        <v>Female</v>
      </c>
      <c r="P410" t="str">
        <f t="shared" si="37"/>
        <v>Heart Disease</v>
      </c>
      <c r="Q410" t="str">
        <f t="shared" si="38"/>
        <v>Typical Angina</v>
      </c>
      <c r="R410" t="str">
        <f t="shared" si="39"/>
        <v>Normal</v>
      </c>
      <c r="S410" t="str">
        <f t="shared" si="40"/>
        <v>Yes</v>
      </c>
      <c r="T410" t="str" cm="1">
        <f t="array" ref="T410">_xlfn.IFS(A409&lt;30,"18-29",A409&lt;40,"30-39",A409&lt;50,"40-49",A409&lt;60,"50-59",A409&gt;=60,"60+")</f>
        <v>50-59</v>
      </c>
      <c r="U410" t="str">
        <f t="shared" si="41"/>
        <v>High (Stage 1)</v>
      </c>
    </row>
    <row r="411" spans="1:21">
      <c r="A411">
        <v>46</v>
      </c>
      <c r="B411">
        <v>1</v>
      </c>
      <c r="C411">
        <v>2</v>
      </c>
      <c r="D411">
        <v>150</v>
      </c>
      <c r="E411">
        <v>231</v>
      </c>
      <c r="F411">
        <v>0</v>
      </c>
      <c r="G411">
        <v>1</v>
      </c>
      <c r="H411">
        <v>147</v>
      </c>
      <c r="I411">
        <v>0</v>
      </c>
      <c r="J411">
        <v>3.6</v>
      </c>
      <c r="K411">
        <v>1</v>
      </c>
      <c r="L411">
        <v>0</v>
      </c>
      <c r="M411">
        <v>2</v>
      </c>
      <c r="N411">
        <v>0</v>
      </c>
      <c r="O411" t="str">
        <f t="shared" si="36"/>
        <v>Male</v>
      </c>
      <c r="P411" t="str">
        <f t="shared" si="37"/>
        <v>No Disease</v>
      </c>
      <c r="Q411" t="str">
        <f t="shared" si="38"/>
        <v>Non-Anginal Pain</v>
      </c>
      <c r="R411" t="str">
        <f t="shared" si="39"/>
        <v>Normal</v>
      </c>
      <c r="S411" t="str">
        <f t="shared" si="40"/>
        <v>No</v>
      </c>
      <c r="T411" t="str" cm="1">
        <f t="array" ref="T411">_xlfn.IFS(A410&lt;30,"18-29",A410&lt;40,"30-39",A410&lt;50,"40-49",A410&lt;60,"50-59",A410&gt;=60,"60+")</f>
        <v>40-49</v>
      </c>
      <c r="U411" t="str">
        <f t="shared" si="41"/>
        <v>High (Stage 2)</v>
      </c>
    </row>
    <row r="412" spans="1:21">
      <c r="A412">
        <v>41</v>
      </c>
      <c r="B412">
        <v>0</v>
      </c>
      <c r="C412">
        <v>1</v>
      </c>
      <c r="D412">
        <v>105</v>
      </c>
      <c r="E412">
        <v>198</v>
      </c>
      <c r="F412">
        <v>0</v>
      </c>
      <c r="G412">
        <v>1</v>
      </c>
      <c r="H412">
        <v>168</v>
      </c>
      <c r="I412">
        <v>0</v>
      </c>
      <c r="J412">
        <v>0</v>
      </c>
      <c r="K412">
        <v>2</v>
      </c>
      <c r="L412">
        <v>1</v>
      </c>
      <c r="M412">
        <v>2</v>
      </c>
      <c r="N412">
        <v>1</v>
      </c>
      <c r="O412" t="str">
        <f t="shared" si="36"/>
        <v>Female</v>
      </c>
      <c r="P412" t="str">
        <f t="shared" si="37"/>
        <v>Heart Disease</v>
      </c>
      <c r="Q412" t="str">
        <f t="shared" si="38"/>
        <v>Atypical Angina</v>
      </c>
      <c r="R412" t="str">
        <f t="shared" si="39"/>
        <v>Normal</v>
      </c>
      <c r="S412" t="str">
        <f t="shared" si="40"/>
        <v>No</v>
      </c>
      <c r="T412" t="str" cm="1">
        <f t="array" ref="T412">_xlfn.IFS(A411&lt;30,"18-29",A411&lt;40,"30-39",A411&lt;50,"40-49",A411&lt;60,"50-59",A411&gt;=60,"60+")</f>
        <v>40-49</v>
      </c>
      <c r="U412" t="str">
        <f t="shared" si="41"/>
        <v>Normal</v>
      </c>
    </row>
    <row r="413" spans="1:21">
      <c r="A413">
        <v>56</v>
      </c>
      <c r="B413">
        <v>1</v>
      </c>
      <c r="C413">
        <v>0</v>
      </c>
      <c r="D413">
        <v>125</v>
      </c>
      <c r="E413">
        <v>249</v>
      </c>
      <c r="F413">
        <v>1</v>
      </c>
      <c r="G413">
        <v>0</v>
      </c>
      <c r="H413">
        <v>144</v>
      </c>
      <c r="I413">
        <v>1</v>
      </c>
      <c r="J413">
        <v>1.2</v>
      </c>
      <c r="K413">
        <v>1</v>
      </c>
      <c r="L413">
        <v>1</v>
      </c>
      <c r="M413">
        <v>2</v>
      </c>
      <c r="N413">
        <v>0</v>
      </c>
      <c r="O413" t="str">
        <f t="shared" si="36"/>
        <v>Male</v>
      </c>
      <c r="P413" t="str">
        <f t="shared" si="37"/>
        <v>No Disease</v>
      </c>
      <c r="Q413" t="str">
        <f t="shared" si="38"/>
        <v>Typical Angina</v>
      </c>
      <c r="R413" t="str">
        <f t="shared" si="39"/>
        <v>High</v>
      </c>
      <c r="S413" t="str">
        <f t="shared" si="40"/>
        <v>Yes</v>
      </c>
      <c r="T413" t="str" cm="1">
        <f t="array" ref="T413">_xlfn.IFS(A412&lt;30,"18-29",A412&lt;40,"30-39",A412&lt;50,"40-49",A412&lt;60,"50-59",A412&gt;=60,"60+")</f>
        <v>40-49</v>
      </c>
      <c r="U413" t="str">
        <f t="shared" si="41"/>
        <v>Elevated</v>
      </c>
    </row>
    <row r="414" spans="1:21">
      <c r="A414">
        <v>57</v>
      </c>
      <c r="B414">
        <v>1</v>
      </c>
      <c r="C414">
        <v>0</v>
      </c>
      <c r="D414">
        <v>150</v>
      </c>
      <c r="E414">
        <v>276</v>
      </c>
      <c r="F414">
        <v>0</v>
      </c>
      <c r="G414">
        <v>0</v>
      </c>
      <c r="H414">
        <v>112</v>
      </c>
      <c r="I414">
        <v>1</v>
      </c>
      <c r="J414">
        <v>0.6</v>
      </c>
      <c r="K414">
        <v>1</v>
      </c>
      <c r="L414">
        <v>1</v>
      </c>
      <c r="M414">
        <v>1</v>
      </c>
      <c r="N414">
        <v>0</v>
      </c>
      <c r="O414" t="str">
        <f t="shared" si="36"/>
        <v>Male</v>
      </c>
      <c r="P414" t="str">
        <f t="shared" si="37"/>
        <v>No Disease</v>
      </c>
      <c r="Q414" t="str">
        <f t="shared" si="38"/>
        <v>Typical Angina</v>
      </c>
      <c r="R414" t="str">
        <f t="shared" si="39"/>
        <v>Normal</v>
      </c>
      <c r="S414" t="str">
        <f t="shared" si="40"/>
        <v>Yes</v>
      </c>
      <c r="T414" t="str" cm="1">
        <f t="array" ref="T414">_xlfn.IFS(A413&lt;30,"18-29",A413&lt;40,"30-39",A413&lt;50,"40-49",A413&lt;60,"50-59",A413&gt;=60,"60+")</f>
        <v>50-59</v>
      </c>
      <c r="U414" t="str">
        <f t="shared" si="41"/>
        <v>High (Stage 2)</v>
      </c>
    </row>
    <row r="415" spans="1:21">
      <c r="A415">
        <v>70</v>
      </c>
      <c r="B415">
        <v>1</v>
      </c>
      <c r="C415">
        <v>0</v>
      </c>
      <c r="D415">
        <v>130</v>
      </c>
      <c r="E415">
        <v>322</v>
      </c>
      <c r="F415">
        <v>0</v>
      </c>
      <c r="G415">
        <v>0</v>
      </c>
      <c r="H415">
        <v>109</v>
      </c>
      <c r="I415">
        <v>0</v>
      </c>
      <c r="J415">
        <v>2.4</v>
      </c>
      <c r="K415">
        <v>1</v>
      </c>
      <c r="L415">
        <v>3</v>
      </c>
      <c r="M415">
        <v>2</v>
      </c>
      <c r="N415">
        <v>0</v>
      </c>
      <c r="O415" t="str">
        <f t="shared" si="36"/>
        <v>Male</v>
      </c>
      <c r="P415" t="str">
        <f t="shared" si="37"/>
        <v>No Disease</v>
      </c>
      <c r="Q415" t="str">
        <f t="shared" si="38"/>
        <v>Typical Angina</v>
      </c>
      <c r="R415" t="str">
        <f t="shared" si="39"/>
        <v>Normal</v>
      </c>
      <c r="S415" t="str">
        <f t="shared" si="40"/>
        <v>No</v>
      </c>
      <c r="T415" t="str" cm="1">
        <f t="array" ref="T415">_xlfn.IFS(A414&lt;30,"18-29",A414&lt;40,"30-39",A414&lt;50,"40-49",A414&lt;60,"50-59",A414&gt;=60,"60+")</f>
        <v>50-59</v>
      </c>
      <c r="U415" t="str">
        <f t="shared" si="41"/>
        <v>High (Stage 1)</v>
      </c>
    </row>
    <row r="416" spans="1:21">
      <c r="A416">
        <v>59</v>
      </c>
      <c r="B416">
        <v>1</v>
      </c>
      <c r="C416">
        <v>3</v>
      </c>
      <c r="D416">
        <v>170</v>
      </c>
      <c r="E416">
        <v>288</v>
      </c>
      <c r="F416">
        <v>0</v>
      </c>
      <c r="G416">
        <v>0</v>
      </c>
      <c r="H416">
        <v>159</v>
      </c>
      <c r="I416">
        <v>0</v>
      </c>
      <c r="J416">
        <v>0.2</v>
      </c>
      <c r="K416">
        <v>1</v>
      </c>
      <c r="L416">
        <v>0</v>
      </c>
      <c r="M416">
        <v>3</v>
      </c>
      <c r="N416">
        <v>0</v>
      </c>
      <c r="O416" t="str">
        <f t="shared" si="36"/>
        <v>Male</v>
      </c>
      <c r="P416" t="str">
        <f t="shared" si="37"/>
        <v>No Disease</v>
      </c>
      <c r="Q416" t="str">
        <f t="shared" si="38"/>
        <v>Asymptomatic</v>
      </c>
      <c r="R416" t="str">
        <f t="shared" si="39"/>
        <v>Normal</v>
      </c>
      <c r="S416" t="str">
        <f t="shared" si="40"/>
        <v>No</v>
      </c>
      <c r="T416" t="str" cm="1">
        <f t="array" ref="T416">_xlfn.IFS(A415&lt;30,"18-29",A415&lt;40,"30-39",A415&lt;50,"40-49",A415&lt;60,"50-59",A415&gt;=60,"60+")</f>
        <v>60+</v>
      </c>
      <c r="U416" t="str">
        <f t="shared" si="41"/>
        <v>High (Stage 2)</v>
      </c>
    </row>
    <row r="417" spans="1:21">
      <c r="A417">
        <v>41</v>
      </c>
      <c r="B417">
        <v>0</v>
      </c>
      <c r="C417">
        <v>1</v>
      </c>
      <c r="D417">
        <v>130</v>
      </c>
      <c r="E417">
        <v>204</v>
      </c>
      <c r="F417">
        <v>0</v>
      </c>
      <c r="G417">
        <v>0</v>
      </c>
      <c r="H417">
        <v>172</v>
      </c>
      <c r="I417">
        <v>0</v>
      </c>
      <c r="J417">
        <v>1.4</v>
      </c>
      <c r="K417">
        <v>2</v>
      </c>
      <c r="L417">
        <v>0</v>
      </c>
      <c r="M417">
        <v>2</v>
      </c>
      <c r="N417">
        <v>1</v>
      </c>
      <c r="O417" t="str">
        <f t="shared" si="36"/>
        <v>Female</v>
      </c>
      <c r="P417" t="str">
        <f t="shared" si="37"/>
        <v>Heart Disease</v>
      </c>
      <c r="Q417" t="str">
        <f t="shared" si="38"/>
        <v>Atypical Angina</v>
      </c>
      <c r="R417" t="str">
        <f t="shared" si="39"/>
        <v>Normal</v>
      </c>
      <c r="S417" t="str">
        <f t="shared" si="40"/>
        <v>No</v>
      </c>
      <c r="T417" t="str" cm="1">
        <f t="array" ref="T417">_xlfn.IFS(A416&lt;30,"18-29",A416&lt;40,"30-39",A416&lt;50,"40-49",A416&lt;60,"50-59",A416&gt;=60,"60+")</f>
        <v>50-59</v>
      </c>
      <c r="U417" t="str">
        <f t="shared" si="41"/>
        <v>High (Stage 1)</v>
      </c>
    </row>
    <row r="418" spans="1:21">
      <c r="A418">
        <v>54</v>
      </c>
      <c r="B418">
        <v>1</v>
      </c>
      <c r="C418">
        <v>2</v>
      </c>
      <c r="D418">
        <v>125</v>
      </c>
      <c r="E418">
        <v>273</v>
      </c>
      <c r="F418">
        <v>0</v>
      </c>
      <c r="G418">
        <v>0</v>
      </c>
      <c r="H418">
        <v>152</v>
      </c>
      <c r="I418">
        <v>0</v>
      </c>
      <c r="J418">
        <v>0.5</v>
      </c>
      <c r="K418">
        <v>0</v>
      </c>
      <c r="L418">
        <v>1</v>
      </c>
      <c r="M418">
        <v>2</v>
      </c>
      <c r="N418">
        <v>1</v>
      </c>
      <c r="O418" t="str">
        <f t="shared" si="36"/>
        <v>Male</v>
      </c>
      <c r="P418" t="str">
        <f t="shared" si="37"/>
        <v>Heart Disease</v>
      </c>
      <c r="Q418" t="str">
        <f t="shared" si="38"/>
        <v>Non-Anginal Pain</v>
      </c>
      <c r="R418" t="str">
        <f t="shared" si="39"/>
        <v>Normal</v>
      </c>
      <c r="S418" t="str">
        <f t="shared" si="40"/>
        <v>No</v>
      </c>
      <c r="T418" t="str" cm="1">
        <f t="array" ref="T418">_xlfn.IFS(A417&lt;30,"18-29",A417&lt;40,"30-39",A417&lt;50,"40-49",A417&lt;60,"50-59",A417&gt;=60,"60+")</f>
        <v>40-49</v>
      </c>
      <c r="U418" t="str">
        <f t="shared" si="41"/>
        <v>Elevated</v>
      </c>
    </row>
    <row r="419" spans="1:21">
      <c r="A419">
        <v>52</v>
      </c>
      <c r="B419">
        <v>1</v>
      </c>
      <c r="C419">
        <v>2</v>
      </c>
      <c r="D419">
        <v>138</v>
      </c>
      <c r="E419">
        <v>223</v>
      </c>
      <c r="F419">
        <v>0</v>
      </c>
      <c r="G419">
        <v>1</v>
      </c>
      <c r="H419">
        <v>169</v>
      </c>
      <c r="I419">
        <v>0</v>
      </c>
      <c r="J419">
        <v>0</v>
      </c>
      <c r="K419">
        <v>2</v>
      </c>
      <c r="L419">
        <v>4</v>
      </c>
      <c r="M419">
        <v>2</v>
      </c>
      <c r="N419">
        <v>1</v>
      </c>
      <c r="O419" t="str">
        <f t="shared" si="36"/>
        <v>Male</v>
      </c>
      <c r="P419" t="str">
        <f t="shared" si="37"/>
        <v>Heart Disease</v>
      </c>
      <c r="Q419" t="str">
        <f t="shared" si="38"/>
        <v>Non-Anginal Pain</v>
      </c>
      <c r="R419" t="str">
        <f t="shared" si="39"/>
        <v>Normal</v>
      </c>
      <c r="S419" t="str">
        <f t="shared" si="40"/>
        <v>No</v>
      </c>
      <c r="T419" t="str" cm="1">
        <f t="array" ref="T419">_xlfn.IFS(A418&lt;30,"18-29",A418&lt;40,"30-39",A418&lt;50,"40-49",A418&lt;60,"50-59",A418&gt;=60,"60+")</f>
        <v>50-59</v>
      </c>
      <c r="U419" t="str">
        <f t="shared" si="41"/>
        <v>High (Stage 1)</v>
      </c>
    </row>
    <row r="420" spans="1:21">
      <c r="A420">
        <v>62</v>
      </c>
      <c r="B420">
        <v>0</v>
      </c>
      <c r="C420">
        <v>0</v>
      </c>
      <c r="D420">
        <v>124</v>
      </c>
      <c r="E420">
        <v>209</v>
      </c>
      <c r="F420">
        <v>0</v>
      </c>
      <c r="G420">
        <v>1</v>
      </c>
      <c r="H420">
        <v>163</v>
      </c>
      <c r="I420">
        <v>0</v>
      </c>
      <c r="J420">
        <v>0</v>
      </c>
      <c r="K420">
        <v>2</v>
      </c>
      <c r="L420">
        <v>0</v>
      </c>
      <c r="M420">
        <v>2</v>
      </c>
      <c r="N420">
        <v>1</v>
      </c>
      <c r="O420" t="str">
        <f t="shared" si="36"/>
        <v>Female</v>
      </c>
      <c r="P420" t="str">
        <f t="shared" si="37"/>
        <v>Heart Disease</v>
      </c>
      <c r="Q420" t="str">
        <f t="shared" si="38"/>
        <v>Typical Angina</v>
      </c>
      <c r="R420" t="str">
        <f t="shared" si="39"/>
        <v>Normal</v>
      </c>
      <c r="S420" t="str">
        <f t="shared" si="40"/>
        <v>No</v>
      </c>
      <c r="T420" t="str" cm="1">
        <f t="array" ref="T420">_xlfn.IFS(A419&lt;30,"18-29",A419&lt;40,"30-39",A419&lt;50,"40-49",A419&lt;60,"50-59",A419&gt;=60,"60+")</f>
        <v>50-59</v>
      </c>
      <c r="U420" t="str">
        <f t="shared" si="41"/>
        <v>Elevated</v>
      </c>
    </row>
    <row r="421" spans="1:21">
      <c r="A421">
        <v>65</v>
      </c>
      <c r="B421">
        <v>0</v>
      </c>
      <c r="C421">
        <v>2</v>
      </c>
      <c r="D421">
        <v>160</v>
      </c>
      <c r="E421">
        <v>360</v>
      </c>
      <c r="F421">
        <v>0</v>
      </c>
      <c r="G421">
        <v>0</v>
      </c>
      <c r="H421">
        <v>151</v>
      </c>
      <c r="I421">
        <v>0</v>
      </c>
      <c r="J421">
        <v>0.8</v>
      </c>
      <c r="K421">
        <v>2</v>
      </c>
      <c r="L421">
        <v>0</v>
      </c>
      <c r="M421">
        <v>2</v>
      </c>
      <c r="N421">
        <v>1</v>
      </c>
      <c r="O421" t="str">
        <f t="shared" si="36"/>
        <v>Female</v>
      </c>
      <c r="P421" t="str">
        <f t="shared" si="37"/>
        <v>Heart Disease</v>
      </c>
      <c r="Q421" t="str">
        <f t="shared" si="38"/>
        <v>Non-Anginal Pain</v>
      </c>
      <c r="R421" t="str">
        <f t="shared" si="39"/>
        <v>Normal</v>
      </c>
      <c r="S421" t="str">
        <f t="shared" si="40"/>
        <v>No</v>
      </c>
      <c r="T421" t="str" cm="1">
        <f t="array" ref="T421">_xlfn.IFS(A420&lt;30,"18-29",A420&lt;40,"30-39",A420&lt;50,"40-49",A420&lt;60,"50-59",A420&gt;=60,"60+")</f>
        <v>60+</v>
      </c>
      <c r="U421" t="str">
        <f t="shared" si="41"/>
        <v>High (Stage 2)</v>
      </c>
    </row>
    <row r="422" spans="1:21">
      <c r="A422">
        <v>57</v>
      </c>
      <c r="B422">
        <v>0</v>
      </c>
      <c r="C422">
        <v>0</v>
      </c>
      <c r="D422">
        <v>128</v>
      </c>
      <c r="E422">
        <v>303</v>
      </c>
      <c r="F422">
        <v>0</v>
      </c>
      <c r="G422">
        <v>0</v>
      </c>
      <c r="H422">
        <v>159</v>
      </c>
      <c r="I422">
        <v>0</v>
      </c>
      <c r="J422">
        <v>0</v>
      </c>
      <c r="K422">
        <v>2</v>
      </c>
      <c r="L422">
        <v>1</v>
      </c>
      <c r="M422">
        <v>2</v>
      </c>
      <c r="N422">
        <v>1</v>
      </c>
      <c r="O422" t="str">
        <f t="shared" si="36"/>
        <v>Female</v>
      </c>
      <c r="P422" t="str">
        <f t="shared" si="37"/>
        <v>Heart Disease</v>
      </c>
      <c r="Q422" t="str">
        <f t="shared" si="38"/>
        <v>Typical Angina</v>
      </c>
      <c r="R422" t="str">
        <f t="shared" si="39"/>
        <v>Normal</v>
      </c>
      <c r="S422" t="str">
        <f t="shared" si="40"/>
        <v>No</v>
      </c>
      <c r="T422" t="str" cm="1">
        <f t="array" ref="T422">_xlfn.IFS(A421&lt;30,"18-29",A421&lt;40,"30-39",A421&lt;50,"40-49",A421&lt;60,"50-59",A421&gt;=60,"60+")</f>
        <v>60+</v>
      </c>
      <c r="U422" t="str">
        <f t="shared" si="41"/>
        <v>Elevated</v>
      </c>
    </row>
    <row r="423" spans="1:21">
      <c r="A423">
        <v>42</v>
      </c>
      <c r="B423">
        <v>0</v>
      </c>
      <c r="C423">
        <v>0</v>
      </c>
      <c r="D423">
        <v>102</v>
      </c>
      <c r="E423">
        <v>265</v>
      </c>
      <c r="F423">
        <v>0</v>
      </c>
      <c r="G423">
        <v>0</v>
      </c>
      <c r="H423">
        <v>122</v>
      </c>
      <c r="I423">
        <v>0</v>
      </c>
      <c r="J423">
        <v>0.6</v>
      </c>
      <c r="K423">
        <v>1</v>
      </c>
      <c r="L423">
        <v>0</v>
      </c>
      <c r="M423">
        <v>2</v>
      </c>
      <c r="N423">
        <v>1</v>
      </c>
      <c r="O423" t="str">
        <f t="shared" si="36"/>
        <v>Female</v>
      </c>
      <c r="P423" t="str">
        <f t="shared" si="37"/>
        <v>Heart Disease</v>
      </c>
      <c r="Q423" t="str">
        <f t="shared" si="38"/>
        <v>Typical Angina</v>
      </c>
      <c r="R423" t="str">
        <f t="shared" si="39"/>
        <v>Normal</v>
      </c>
      <c r="S423" t="str">
        <f t="shared" si="40"/>
        <v>No</v>
      </c>
      <c r="T423" t="str" cm="1">
        <f t="array" ref="T423">_xlfn.IFS(A422&lt;30,"18-29",A422&lt;40,"30-39",A422&lt;50,"40-49",A422&lt;60,"50-59",A422&gt;=60,"60+")</f>
        <v>50-59</v>
      </c>
      <c r="U423" t="str">
        <f t="shared" si="41"/>
        <v>Normal</v>
      </c>
    </row>
    <row r="424" spans="1:21">
      <c r="A424">
        <v>57</v>
      </c>
      <c r="B424">
        <v>0</v>
      </c>
      <c r="C424">
        <v>0</v>
      </c>
      <c r="D424">
        <v>120</v>
      </c>
      <c r="E424">
        <v>354</v>
      </c>
      <c r="F424">
        <v>0</v>
      </c>
      <c r="G424">
        <v>1</v>
      </c>
      <c r="H424">
        <v>163</v>
      </c>
      <c r="I424">
        <v>1</v>
      </c>
      <c r="J424">
        <v>0.6</v>
      </c>
      <c r="K424">
        <v>2</v>
      </c>
      <c r="L424">
        <v>0</v>
      </c>
      <c r="M424">
        <v>2</v>
      </c>
      <c r="N424">
        <v>1</v>
      </c>
      <c r="O424" t="str">
        <f t="shared" si="36"/>
        <v>Female</v>
      </c>
      <c r="P424" t="str">
        <f t="shared" si="37"/>
        <v>Heart Disease</v>
      </c>
      <c r="Q424" t="str">
        <f t="shared" si="38"/>
        <v>Typical Angina</v>
      </c>
      <c r="R424" t="str">
        <f t="shared" si="39"/>
        <v>Normal</v>
      </c>
      <c r="S424" t="str">
        <f t="shared" si="40"/>
        <v>Yes</v>
      </c>
      <c r="T424" t="str" cm="1">
        <f t="array" ref="T424">_xlfn.IFS(A423&lt;30,"18-29",A423&lt;40,"30-39",A423&lt;50,"40-49",A423&lt;60,"50-59",A423&gt;=60,"60+")</f>
        <v>40-49</v>
      </c>
      <c r="U424" t="str">
        <f t="shared" si="41"/>
        <v>Elevated</v>
      </c>
    </row>
    <row r="425" spans="1:21">
      <c r="A425">
        <v>58</v>
      </c>
      <c r="B425">
        <v>0</v>
      </c>
      <c r="C425">
        <v>1</v>
      </c>
      <c r="D425">
        <v>136</v>
      </c>
      <c r="E425">
        <v>319</v>
      </c>
      <c r="F425">
        <v>1</v>
      </c>
      <c r="G425">
        <v>0</v>
      </c>
      <c r="H425">
        <v>152</v>
      </c>
      <c r="I425">
        <v>0</v>
      </c>
      <c r="J425">
        <v>0</v>
      </c>
      <c r="K425">
        <v>2</v>
      </c>
      <c r="L425">
        <v>2</v>
      </c>
      <c r="M425">
        <v>2</v>
      </c>
      <c r="N425">
        <v>0</v>
      </c>
      <c r="O425" t="str">
        <f t="shared" si="36"/>
        <v>Female</v>
      </c>
      <c r="P425" t="str">
        <f t="shared" si="37"/>
        <v>No Disease</v>
      </c>
      <c r="Q425" t="str">
        <f t="shared" si="38"/>
        <v>Atypical Angina</v>
      </c>
      <c r="R425" t="str">
        <f t="shared" si="39"/>
        <v>High</v>
      </c>
      <c r="S425" t="str">
        <f t="shared" si="40"/>
        <v>No</v>
      </c>
      <c r="T425" t="str" cm="1">
        <f t="array" ref="T425">_xlfn.IFS(A424&lt;30,"18-29",A424&lt;40,"30-39",A424&lt;50,"40-49",A424&lt;60,"50-59",A424&gt;=60,"60+")</f>
        <v>50-59</v>
      </c>
      <c r="U425" t="str">
        <f t="shared" si="41"/>
        <v>High (Stage 1)</v>
      </c>
    </row>
    <row r="426" spans="1:21">
      <c r="A426">
        <v>45</v>
      </c>
      <c r="B426">
        <v>1</v>
      </c>
      <c r="C426">
        <v>0</v>
      </c>
      <c r="D426">
        <v>142</v>
      </c>
      <c r="E426">
        <v>309</v>
      </c>
      <c r="F426">
        <v>0</v>
      </c>
      <c r="G426">
        <v>0</v>
      </c>
      <c r="H426">
        <v>147</v>
      </c>
      <c r="I426">
        <v>1</v>
      </c>
      <c r="J426">
        <v>0</v>
      </c>
      <c r="K426">
        <v>1</v>
      </c>
      <c r="L426">
        <v>3</v>
      </c>
      <c r="M426">
        <v>3</v>
      </c>
      <c r="N426">
        <v>0</v>
      </c>
      <c r="O426" t="str">
        <f t="shared" si="36"/>
        <v>Male</v>
      </c>
      <c r="P426" t="str">
        <f t="shared" si="37"/>
        <v>No Disease</v>
      </c>
      <c r="Q426" t="str">
        <f t="shared" si="38"/>
        <v>Typical Angina</v>
      </c>
      <c r="R426" t="str">
        <f t="shared" si="39"/>
        <v>Normal</v>
      </c>
      <c r="S426" t="str">
        <f t="shared" si="40"/>
        <v>Yes</v>
      </c>
      <c r="T426" t="str" cm="1">
        <f t="array" ref="T426">_xlfn.IFS(A425&lt;30,"18-29",A425&lt;40,"30-39",A425&lt;50,"40-49",A425&lt;60,"50-59",A425&gt;=60,"60+")</f>
        <v>50-59</v>
      </c>
      <c r="U426" t="str">
        <f t="shared" si="41"/>
        <v>High (Stage 2)</v>
      </c>
    </row>
    <row r="427" spans="1:21">
      <c r="A427">
        <v>51</v>
      </c>
      <c r="B427">
        <v>0</v>
      </c>
      <c r="C427">
        <v>0</v>
      </c>
      <c r="D427">
        <v>130</v>
      </c>
      <c r="E427">
        <v>305</v>
      </c>
      <c r="F427">
        <v>0</v>
      </c>
      <c r="G427">
        <v>1</v>
      </c>
      <c r="H427">
        <v>142</v>
      </c>
      <c r="I427">
        <v>1</v>
      </c>
      <c r="J427">
        <v>1.2</v>
      </c>
      <c r="K427">
        <v>1</v>
      </c>
      <c r="L427">
        <v>0</v>
      </c>
      <c r="M427">
        <v>3</v>
      </c>
      <c r="N427">
        <v>0</v>
      </c>
      <c r="O427" t="str">
        <f t="shared" si="36"/>
        <v>Female</v>
      </c>
      <c r="P427" t="str">
        <f t="shared" si="37"/>
        <v>No Disease</v>
      </c>
      <c r="Q427" t="str">
        <f t="shared" si="38"/>
        <v>Typical Angina</v>
      </c>
      <c r="R427" t="str">
        <f t="shared" si="39"/>
        <v>Normal</v>
      </c>
      <c r="S427" t="str">
        <f t="shared" si="40"/>
        <v>Yes</v>
      </c>
      <c r="T427" t="str" cm="1">
        <f t="array" ref="T427">_xlfn.IFS(A426&lt;30,"18-29",A426&lt;40,"30-39",A426&lt;50,"40-49",A426&lt;60,"50-59",A426&gt;=60,"60+")</f>
        <v>40-49</v>
      </c>
      <c r="U427" t="str">
        <f t="shared" si="41"/>
        <v>High (Stage 1)</v>
      </c>
    </row>
    <row r="428" spans="1:21">
      <c r="A428">
        <v>54</v>
      </c>
      <c r="B428">
        <v>0</v>
      </c>
      <c r="C428">
        <v>2</v>
      </c>
      <c r="D428">
        <v>160</v>
      </c>
      <c r="E428">
        <v>201</v>
      </c>
      <c r="F428">
        <v>0</v>
      </c>
      <c r="G428">
        <v>1</v>
      </c>
      <c r="H428">
        <v>163</v>
      </c>
      <c r="I428">
        <v>0</v>
      </c>
      <c r="J428">
        <v>0</v>
      </c>
      <c r="K428">
        <v>2</v>
      </c>
      <c r="L428">
        <v>1</v>
      </c>
      <c r="M428">
        <v>2</v>
      </c>
      <c r="N428">
        <v>1</v>
      </c>
      <c r="O428" t="str">
        <f t="shared" si="36"/>
        <v>Female</v>
      </c>
      <c r="P428" t="str">
        <f t="shared" si="37"/>
        <v>Heart Disease</v>
      </c>
      <c r="Q428" t="str">
        <f t="shared" si="38"/>
        <v>Non-Anginal Pain</v>
      </c>
      <c r="R428" t="str">
        <f t="shared" si="39"/>
        <v>Normal</v>
      </c>
      <c r="S428" t="str">
        <f t="shared" si="40"/>
        <v>No</v>
      </c>
      <c r="T428" t="str" cm="1">
        <f t="array" ref="T428">_xlfn.IFS(A427&lt;30,"18-29",A427&lt;40,"30-39",A427&lt;50,"40-49",A427&lt;60,"50-59",A427&gt;=60,"60+")</f>
        <v>50-59</v>
      </c>
      <c r="U428" t="str">
        <f t="shared" si="41"/>
        <v>High (Stage 2)</v>
      </c>
    </row>
    <row r="429" spans="1:21">
      <c r="A429">
        <v>57</v>
      </c>
      <c r="B429">
        <v>1</v>
      </c>
      <c r="C429">
        <v>2</v>
      </c>
      <c r="D429">
        <v>150</v>
      </c>
      <c r="E429">
        <v>168</v>
      </c>
      <c r="F429">
        <v>0</v>
      </c>
      <c r="G429">
        <v>1</v>
      </c>
      <c r="H429">
        <v>174</v>
      </c>
      <c r="I429">
        <v>0</v>
      </c>
      <c r="J429">
        <v>1.6</v>
      </c>
      <c r="K429">
        <v>2</v>
      </c>
      <c r="L429">
        <v>0</v>
      </c>
      <c r="M429">
        <v>2</v>
      </c>
      <c r="N429">
        <v>1</v>
      </c>
      <c r="O429" t="str">
        <f t="shared" si="36"/>
        <v>Male</v>
      </c>
      <c r="P429" t="str">
        <f t="shared" si="37"/>
        <v>Heart Disease</v>
      </c>
      <c r="Q429" t="str">
        <f t="shared" si="38"/>
        <v>Non-Anginal Pain</v>
      </c>
      <c r="R429" t="str">
        <f t="shared" si="39"/>
        <v>Normal</v>
      </c>
      <c r="S429" t="str">
        <f t="shared" si="40"/>
        <v>No</v>
      </c>
      <c r="T429" t="str" cm="1">
        <f t="array" ref="T429">_xlfn.IFS(A428&lt;30,"18-29",A428&lt;40,"30-39",A428&lt;50,"40-49",A428&lt;60,"50-59",A428&gt;=60,"60+")</f>
        <v>50-59</v>
      </c>
      <c r="U429" t="str">
        <f t="shared" si="41"/>
        <v>High (Stage 2)</v>
      </c>
    </row>
    <row r="430" spans="1:21">
      <c r="A430">
        <v>43</v>
      </c>
      <c r="B430">
        <v>1</v>
      </c>
      <c r="C430">
        <v>0</v>
      </c>
      <c r="D430">
        <v>132</v>
      </c>
      <c r="E430">
        <v>247</v>
      </c>
      <c r="F430">
        <v>1</v>
      </c>
      <c r="G430">
        <v>0</v>
      </c>
      <c r="H430">
        <v>143</v>
      </c>
      <c r="I430">
        <v>1</v>
      </c>
      <c r="J430">
        <v>0.1</v>
      </c>
      <c r="K430">
        <v>1</v>
      </c>
      <c r="L430">
        <v>4</v>
      </c>
      <c r="M430">
        <v>3</v>
      </c>
      <c r="N430">
        <v>0</v>
      </c>
      <c r="O430" t="str">
        <f t="shared" si="36"/>
        <v>Male</v>
      </c>
      <c r="P430" t="str">
        <f t="shared" si="37"/>
        <v>No Disease</v>
      </c>
      <c r="Q430" t="str">
        <f t="shared" si="38"/>
        <v>Typical Angina</v>
      </c>
      <c r="R430" t="str">
        <f t="shared" si="39"/>
        <v>High</v>
      </c>
      <c r="S430" t="str">
        <f t="shared" si="40"/>
        <v>Yes</v>
      </c>
      <c r="T430" t="str" cm="1">
        <f t="array" ref="T430">_xlfn.IFS(A429&lt;30,"18-29",A429&lt;40,"30-39",A429&lt;50,"40-49",A429&lt;60,"50-59",A429&gt;=60,"60+")</f>
        <v>50-59</v>
      </c>
      <c r="U430" t="str">
        <f t="shared" si="41"/>
        <v>High (Stage 1)</v>
      </c>
    </row>
    <row r="431" spans="1:21">
      <c r="A431">
        <v>47</v>
      </c>
      <c r="B431">
        <v>1</v>
      </c>
      <c r="C431">
        <v>2</v>
      </c>
      <c r="D431">
        <v>108</v>
      </c>
      <c r="E431">
        <v>243</v>
      </c>
      <c r="F431">
        <v>0</v>
      </c>
      <c r="G431">
        <v>1</v>
      </c>
      <c r="H431">
        <v>152</v>
      </c>
      <c r="I431">
        <v>0</v>
      </c>
      <c r="J431">
        <v>0</v>
      </c>
      <c r="K431">
        <v>2</v>
      </c>
      <c r="L431">
        <v>0</v>
      </c>
      <c r="M431">
        <v>2</v>
      </c>
      <c r="N431">
        <v>0</v>
      </c>
      <c r="O431" t="str">
        <f t="shared" si="36"/>
        <v>Male</v>
      </c>
      <c r="P431" t="str">
        <f t="shared" si="37"/>
        <v>No Disease</v>
      </c>
      <c r="Q431" t="str">
        <f t="shared" si="38"/>
        <v>Non-Anginal Pain</v>
      </c>
      <c r="R431" t="str">
        <f t="shared" si="39"/>
        <v>Normal</v>
      </c>
      <c r="S431" t="str">
        <f t="shared" si="40"/>
        <v>No</v>
      </c>
      <c r="T431" t="str" cm="1">
        <f t="array" ref="T431">_xlfn.IFS(A430&lt;30,"18-29",A430&lt;40,"30-39",A430&lt;50,"40-49",A430&lt;60,"50-59",A430&gt;=60,"60+")</f>
        <v>40-49</v>
      </c>
      <c r="U431" t="str">
        <f t="shared" si="41"/>
        <v>Normal</v>
      </c>
    </row>
    <row r="432" spans="1:21">
      <c r="A432">
        <v>67</v>
      </c>
      <c r="B432">
        <v>1</v>
      </c>
      <c r="C432">
        <v>2</v>
      </c>
      <c r="D432">
        <v>152</v>
      </c>
      <c r="E432">
        <v>212</v>
      </c>
      <c r="F432">
        <v>0</v>
      </c>
      <c r="G432">
        <v>0</v>
      </c>
      <c r="H432">
        <v>150</v>
      </c>
      <c r="I432">
        <v>0</v>
      </c>
      <c r="J432">
        <v>0.8</v>
      </c>
      <c r="K432">
        <v>1</v>
      </c>
      <c r="L432">
        <v>0</v>
      </c>
      <c r="M432">
        <v>3</v>
      </c>
      <c r="N432">
        <v>0</v>
      </c>
      <c r="O432" t="str">
        <f t="shared" si="36"/>
        <v>Male</v>
      </c>
      <c r="P432" t="str">
        <f t="shared" si="37"/>
        <v>No Disease</v>
      </c>
      <c r="Q432" t="str">
        <f t="shared" si="38"/>
        <v>Non-Anginal Pain</v>
      </c>
      <c r="R432" t="str">
        <f t="shared" si="39"/>
        <v>Normal</v>
      </c>
      <c r="S432" t="str">
        <f t="shared" si="40"/>
        <v>No</v>
      </c>
      <c r="T432" t="str" cm="1">
        <f t="array" ref="T432">_xlfn.IFS(A431&lt;30,"18-29",A431&lt;40,"30-39",A431&lt;50,"40-49",A431&lt;60,"50-59",A431&gt;=60,"60+")</f>
        <v>40-49</v>
      </c>
      <c r="U432" t="str">
        <f t="shared" si="41"/>
        <v>High (Stage 2)</v>
      </c>
    </row>
    <row r="433" spans="1:21">
      <c r="A433">
        <v>65</v>
      </c>
      <c r="B433">
        <v>0</v>
      </c>
      <c r="C433">
        <v>0</v>
      </c>
      <c r="D433">
        <v>150</v>
      </c>
      <c r="E433">
        <v>225</v>
      </c>
      <c r="F433">
        <v>0</v>
      </c>
      <c r="G433">
        <v>0</v>
      </c>
      <c r="H433">
        <v>114</v>
      </c>
      <c r="I433">
        <v>0</v>
      </c>
      <c r="J433">
        <v>1</v>
      </c>
      <c r="K433">
        <v>1</v>
      </c>
      <c r="L433">
        <v>3</v>
      </c>
      <c r="M433">
        <v>3</v>
      </c>
      <c r="N433">
        <v>0</v>
      </c>
      <c r="O433" t="str">
        <f t="shared" si="36"/>
        <v>Female</v>
      </c>
      <c r="P433" t="str">
        <f t="shared" si="37"/>
        <v>No Disease</v>
      </c>
      <c r="Q433" t="str">
        <f t="shared" si="38"/>
        <v>Typical Angina</v>
      </c>
      <c r="R433" t="str">
        <f t="shared" si="39"/>
        <v>Normal</v>
      </c>
      <c r="S433" t="str">
        <f t="shared" si="40"/>
        <v>No</v>
      </c>
      <c r="T433" t="str" cm="1">
        <f t="array" ref="T433">_xlfn.IFS(A432&lt;30,"18-29",A432&lt;40,"30-39",A432&lt;50,"40-49",A432&lt;60,"50-59",A432&gt;=60,"60+")</f>
        <v>60+</v>
      </c>
      <c r="U433" t="str">
        <f t="shared" si="41"/>
        <v>High (Stage 2)</v>
      </c>
    </row>
    <row r="434" spans="1:21">
      <c r="A434">
        <v>60</v>
      </c>
      <c r="B434">
        <v>0</v>
      </c>
      <c r="C434">
        <v>2</v>
      </c>
      <c r="D434">
        <v>102</v>
      </c>
      <c r="E434">
        <v>318</v>
      </c>
      <c r="F434">
        <v>0</v>
      </c>
      <c r="G434">
        <v>1</v>
      </c>
      <c r="H434">
        <v>160</v>
      </c>
      <c r="I434">
        <v>0</v>
      </c>
      <c r="J434">
        <v>0</v>
      </c>
      <c r="K434">
        <v>2</v>
      </c>
      <c r="L434">
        <v>1</v>
      </c>
      <c r="M434">
        <v>2</v>
      </c>
      <c r="N434">
        <v>1</v>
      </c>
      <c r="O434" t="str">
        <f t="shared" si="36"/>
        <v>Female</v>
      </c>
      <c r="P434" t="str">
        <f t="shared" si="37"/>
        <v>Heart Disease</v>
      </c>
      <c r="Q434" t="str">
        <f t="shared" si="38"/>
        <v>Non-Anginal Pain</v>
      </c>
      <c r="R434" t="str">
        <f t="shared" si="39"/>
        <v>Normal</v>
      </c>
      <c r="S434" t="str">
        <f t="shared" si="40"/>
        <v>No</v>
      </c>
      <c r="T434" t="str" cm="1">
        <f t="array" ref="T434">_xlfn.IFS(A433&lt;30,"18-29",A433&lt;40,"30-39",A433&lt;50,"40-49",A433&lt;60,"50-59",A433&gt;=60,"60+")</f>
        <v>60+</v>
      </c>
      <c r="U434" t="str">
        <f t="shared" si="41"/>
        <v>Normal</v>
      </c>
    </row>
    <row r="435" spans="1:21">
      <c r="A435">
        <v>37</v>
      </c>
      <c r="B435">
        <v>1</v>
      </c>
      <c r="C435">
        <v>2</v>
      </c>
      <c r="D435">
        <v>130</v>
      </c>
      <c r="E435">
        <v>250</v>
      </c>
      <c r="F435">
        <v>0</v>
      </c>
      <c r="G435">
        <v>1</v>
      </c>
      <c r="H435">
        <v>187</v>
      </c>
      <c r="I435">
        <v>0</v>
      </c>
      <c r="J435">
        <v>3.5</v>
      </c>
      <c r="K435">
        <v>0</v>
      </c>
      <c r="L435">
        <v>0</v>
      </c>
      <c r="M435">
        <v>2</v>
      </c>
      <c r="N435">
        <v>1</v>
      </c>
      <c r="O435" t="str">
        <f t="shared" si="36"/>
        <v>Male</v>
      </c>
      <c r="P435" t="str">
        <f t="shared" si="37"/>
        <v>Heart Disease</v>
      </c>
      <c r="Q435" t="str">
        <f t="shared" si="38"/>
        <v>Non-Anginal Pain</v>
      </c>
      <c r="R435" t="str">
        <f t="shared" si="39"/>
        <v>Normal</v>
      </c>
      <c r="S435" t="str">
        <f t="shared" si="40"/>
        <v>No</v>
      </c>
      <c r="T435" t="str" cm="1">
        <f t="array" ref="T435">_xlfn.IFS(A434&lt;30,"18-29",A434&lt;40,"30-39",A434&lt;50,"40-49",A434&lt;60,"50-59",A434&gt;=60,"60+")</f>
        <v>60+</v>
      </c>
      <c r="U435" t="str">
        <f t="shared" si="41"/>
        <v>High (Stage 1)</v>
      </c>
    </row>
    <row r="436" spans="1:21">
      <c r="A436">
        <v>41</v>
      </c>
      <c r="B436">
        <v>0</v>
      </c>
      <c r="C436">
        <v>2</v>
      </c>
      <c r="D436">
        <v>112</v>
      </c>
      <c r="E436">
        <v>268</v>
      </c>
      <c r="F436">
        <v>0</v>
      </c>
      <c r="G436">
        <v>0</v>
      </c>
      <c r="H436">
        <v>172</v>
      </c>
      <c r="I436">
        <v>1</v>
      </c>
      <c r="J436">
        <v>0</v>
      </c>
      <c r="K436">
        <v>2</v>
      </c>
      <c r="L436">
        <v>0</v>
      </c>
      <c r="M436">
        <v>2</v>
      </c>
      <c r="N436">
        <v>1</v>
      </c>
      <c r="O436" t="str">
        <f t="shared" si="36"/>
        <v>Female</v>
      </c>
      <c r="P436" t="str">
        <f t="shared" si="37"/>
        <v>Heart Disease</v>
      </c>
      <c r="Q436" t="str">
        <f t="shared" si="38"/>
        <v>Non-Anginal Pain</v>
      </c>
      <c r="R436" t="str">
        <f t="shared" si="39"/>
        <v>Normal</v>
      </c>
      <c r="S436" t="str">
        <f t="shared" si="40"/>
        <v>Yes</v>
      </c>
      <c r="T436" t="str" cm="1">
        <f t="array" ref="T436">_xlfn.IFS(A435&lt;30,"18-29",A435&lt;40,"30-39",A435&lt;50,"40-49",A435&lt;60,"50-59",A435&gt;=60,"60+")</f>
        <v>30-39</v>
      </c>
      <c r="U436" t="str">
        <f t="shared" si="41"/>
        <v>Normal</v>
      </c>
    </row>
    <row r="437" spans="1:21">
      <c r="A437">
        <v>57</v>
      </c>
      <c r="B437">
        <v>0</v>
      </c>
      <c r="C437">
        <v>0</v>
      </c>
      <c r="D437">
        <v>120</v>
      </c>
      <c r="E437">
        <v>354</v>
      </c>
      <c r="F437">
        <v>0</v>
      </c>
      <c r="G437">
        <v>1</v>
      </c>
      <c r="H437">
        <v>163</v>
      </c>
      <c r="I437">
        <v>1</v>
      </c>
      <c r="J437">
        <v>0.6</v>
      </c>
      <c r="K437">
        <v>2</v>
      </c>
      <c r="L437">
        <v>0</v>
      </c>
      <c r="M437">
        <v>2</v>
      </c>
      <c r="N437">
        <v>1</v>
      </c>
      <c r="O437" t="str">
        <f t="shared" si="36"/>
        <v>Female</v>
      </c>
      <c r="P437" t="str">
        <f t="shared" si="37"/>
        <v>Heart Disease</v>
      </c>
      <c r="Q437" t="str">
        <f t="shared" si="38"/>
        <v>Typical Angina</v>
      </c>
      <c r="R437" t="str">
        <f t="shared" si="39"/>
        <v>Normal</v>
      </c>
      <c r="S437" t="str">
        <f t="shared" si="40"/>
        <v>Yes</v>
      </c>
      <c r="T437" t="str" cm="1">
        <f t="array" ref="T437">_xlfn.IFS(A436&lt;30,"18-29",A436&lt;40,"30-39",A436&lt;50,"40-49",A436&lt;60,"50-59",A436&gt;=60,"60+")</f>
        <v>40-49</v>
      </c>
      <c r="U437" t="str">
        <f t="shared" si="41"/>
        <v>Elevated</v>
      </c>
    </row>
    <row r="438" spans="1:21">
      <c r="A438">
        <v>59</v>
      </c>
      <c r="B438">
        <v>0</v>
      </c>
      <c r="C438">
        <v>0</v>
      </c>
      <c r="D438">
        <v>174</v>
      </c>
      <c r="E438">
        <v>249</v>
      </c>
      <c r="F438">
        <v>0</v>
      </c>
      <c r="G438">
        <v>1</v>
      </c>
      <c r="H438">
        <v>143</v>
      </c>
      <c r="I438">
        <v>1</v>
      </c>
      <c r="J438">
        <v>0</v>
      </c>
      <c r="K438">
        <v>1</v>
      </c>
      <c r="L438">
        <v>0</v>
      </c>
      <c r="M438">
        <v>2</v>
      </c>
      <c r="N438">
        <v>0</v>
      </c>
      <c r="O438" t="str">
        <f t="shared" si="36"/>
        <v>Female</v>
      </c>
      <c r="P438" t="str">
        <f t="shared" si="37"/>
        <v>No Disease</v>
      </c>
      <c r="Q438" t="str">
        <f t="shared" si="38"/>
        <v>Typical Angina</v>
      </c>
      <c r="R438" t="str">
        <f t="shared" si="39"/>
        <v>Normal</v>
      </c>
      <c r="S438" t="str">
        <f t="shared" si="40"/>
        <v>Yes</v>
      </c>
      <c r="T438" t="str" cm="1">
        <f t="array" ref="T438">_xlfn.IFS(A437&lt;30,"18-29",A437&lt;40,"30-39",A437&lt;50,"40-49",A437&lt;60,"50-59",A437&gt;=60,"60+")</f>
        <v>50-59</v>
      </c>
      <c r="U438" t="str">
        <f t="shared" si="41"/>
        <v>High (Stage 2)</v>
      </c>
    </row>
    <row r="439" spans="1:21">
      <c r="A439">
        <v>67</v>
      </c>
      <c r="B439">
        <v>1</v>
      </c>
      <c r="C439">
        <v>0</v>
      </c>
      <c r="D439">
        <v>120</v>
      </c>
      <c r="E439">
        <v>229</v>
      </c>
      <c r="F439">
        <v>0</v>
      </c>
      <c r="G439">
        <v>0</v>
      </c>
      <c r="H439">
        <v>129</v>
      </c>
      <c r="I439">
        <v>1</v>
      </c>
      <c r="J439">
        <v>2.6</v>
      </c>
      <c r="K439">
        <v>1</v>
      </c>
      <c r="L439">
        <v>2</v>
      </c>
      <c r="M439">
        <v>3</v>
      </c>
      <c r="N439">
        <v>0</v>
      </c>
      <c r="O439" t="str">
        <f t="shared" si="36"/>
        <v>Male</v>
      </c>
      <c r="P439" t="str">
        <f t="shared" si="37"/>
        <v>No Disease</v>
      </c>
      <c r="Q439" t="str">
        <f t="shared" si="38"/>
        <v>Typical Angina</v>
      </c>
      <c r="R439" t="str">
        <f t="shared" si="39"/>
        <v>Normal</v>
      </c>
      <c r="S439" t="str">
        <f t="shared" si="40"/>
        <v>Yes</v>
      </c>
      <c r="T439" t="str" cm="1">
        <f t="array" ref="T439">_xlfn.IFS(A438&lt;30,"18-29",A438&lt;40,"30-39",A438&lt;50,"40-49",A438&lt;60,"50-59",A438&gt;=60,"60+")</f>
        <v>50-59</v>
      </c>
      <c r="U439" t="str">
        <f t="shared" si="41"/>
        <v>Elevated</v>
      </c>
    </row>
    <row r="440" spans="1:21">
      <c r="A440">
        <v>47</v>
      </c>
      <c r="B440">
        <v>1</v>
      </c>
      <c r="C440">
        <v>2</v>
      </c>
      <c r="D440">
        <v>130</v>
      </c>
      <c r="E440">
        <v>253</v>
      </c>
      <c r="F440">
        <v>0</v>
      </c>
      <c r="G440">
        <v>1</v>
      </c>
      <c r="H440">
        <v>179</v>
      </c>
      <c r="I440">
        <v>0</v>
      </c>
      <c r="J440">
        <v>0</v>
      </c>
      <c r="K440">
        <v>2</v>
      </c>
      <c r="L440">
        <v>0</v>
      </c>
      <c r="M440">
        <v>2</v>
      </c>
      <c r="N440">
        <v>1</v>
      </c>
      <c r="O440" t="str">
        <f t="shared" si="36"/>
        <v>Male</v>
      </c>
      <c r="P440" t="str">
        <f t="shared" si="37"/>
        <v>Heart Disease</v>
      </c>
      <c r="Q440" t="str">
        <f t="shared" si="38"/>
        <v>Non-Anginal Pain</v>
      </c>
      <c r="R440" t="str">
        <f t="shared" si="39"/>
        <v>Normal</v>
      </c>
      <c r="S440" t="str">
        <f t="shared" si="40"/>
        <v>No</v>
      </c>
      <c r="T440" t="str" cm="1">
        <f t="array" ref="T440">_xlfn.IFS(A439&lt;30,"18-29",A439&lt;40,"30-39",A439&lt;50,"40-49",A439&lt;60,"50-59",A439&gt;=60,"60+")</f>
        <v>60+</v>
      </c>
      <c r="U440" t="str">
        <f t="shared" si="41"/>
        <v>High (Stage 1)</v>
      </c>
    </row>
    <row r="441" spans="1:21">
      <c r="A441">
        <v>58</v>
      </c>
      <c r="B441">
        <v>1</v>
      </c>
      <c r="C441">
        <v>1</v>
      </c>
      <c r="D441">
        <v>120</v>
      </c>
      <c r="E441">
        <v>284</v>
      </c>
      <c r="F441">
        <v>0</v>
      </c>
      <c r="G441">
        <v>0</v>
      </c>
      <c r="H441">
        <v>160</v>
      </c>
      <c r="I441">
        <v>0</v>
      </c>
      <c r="J441">
        <v>1.8</v>
      </c>
      <c r="K441">
        <v>1</v>
      </c>
      <c r="L441">
        <v>0</v>
      </c>
      <c r="M441">
        <v>2</v>
      </c>
      <c r="N441">
        <v>0</v>
      </c>
      <c r="O441" t="str">
        <f t="shared" si="36"/>
        <v>Male</v>
      </c>
      <c r="P441" t="str">
        <f t="shared" si="37"/>
        <v>No Disease</v>
      </c>
      <c r="Q441" t="str">
        <f t="shared" si="38"/>
        <v>Atypical Angina</v>
      </c>
      <c r="R441" t="str">
        <f t="shared" si="39"/>
        <v>Normal</v>
      </c>
      <c r="S441" t="str">
        <f t="shared" si="40"/>
        <v>No</v>
      </c>
      <c r="T441" t="str" cm="1">
        <f t="array" ref="T441">_xlfn.IFS(A440&lt;30,"18-29",A440&lt;40,"30-39",A440&lt;50,"40-49",A440&lt;60,"50-59",A440&gt;=60,"60+")</f>
        <v>40-49</v>
      </c>
      <c r="U441" t="str">
        <f t="shared" si="41"/>
        <v>Elevated</v>
      </c>
    </row>
    <row r="442" spans="1:21">
      <c r="A442">
        <v>62</v>
      </c>
      <c r="B442">
        <v>0</v>
      </c>
      <c r="C442">
        <v>0</v>
      </c>
      <c r="D442">
        <v>150</v>
      </c>
      <c r="E442">
        <v>244</v>
      </c>
      <c r="F442">
        <v>0</v>
      </c>
      <c r="G442">
        <v>1</v>
      </c>
      <c r="H442">
        <v>154</v>
      </c>
      <c r="I442">
        <v>1</v>
      </c>
      <c r="J442">
        <v>1.4</v>
      </c>
      <c r="K442">
        <v>1</v>
      </c>
      <c r="L442">
        <v>0</v>
      </c>
      <c r="M442">
        <v>2</v>
      </c>
      <c r="N442">
        <v>0</v>
      </c>
      <c r="O442" t="str">
        <f t="shared" si="36"/>
        <v>Female</v>
      </c>
      <c r="P442" t="str">
        <f t="shared" si="37"/>
        <v>No Disease</v>
      </c>
      <c r="Q442" t="str">
        <f t="shared" si="38"/>
        <v>Typical Angina</v>
      </c>
      <c r="R442" t="str">
        <f t="shared" si="39"/>
        <v>Normal</v>
      </c>
      <c r="S442" t="str">
        <f t="shared" si="40"/>
        <v>Yes</v>
      </c>
      <c r="T442" t="str" cm="1">
        <f t="array" ref="T442">_xlfn.IFS(A441&lt;30,"18-29",A441&lt;40,"30-39",A441&lt;50,"40-49",A441&lt;60,"50-59",A441&gt;=60,"60+")</f>
        <v>50-59</v>
      </c>
      <c r="U442" t="str">
        <f t="shared" si="41"/>
        <v>High (Stage 2)</v>
      </c>
    </row>
    <row r="443" spans="1:21">
      <c r="A443">
        <v>60</v>
      </c>
      <c r="B443">
        <v>1</v>
      </c>
      <c r="C443">
        <v>0</v>
      </c>
      <c r="D443">
        <v>140</v>
      </c>
      <c r="E443">
        <v>293</v>
      </c>
      <c r="F443">
        <v>0</v>
      </c>
      <c r="G443">
        <v>0</v>
      </c>
      <c r="H443">
        <v>170</v>
      </c>
      <c r="I443">
        <v>0</v>
      </c>
      <c r="J443">
        <v>1.2</v>
      </c>
      <c r="K443">
        <v>1</v>
      </c>
      <c r="L443">
        <v>2</v>
      </c>
      <c r="M443">
        <v>3</v>
      </c>
      <c r="N443">
        <v>0</v>
      </c>
      <c r="O443" t="str">
        <f t="shared" si="36"/>
        <v>Male</v>
      </c>
      <c r="P443" t="str">
        <f t="shared" si="37"/>
        <v>No Disease</v>
      </c>
      <c r="Q443" t="str">
        <f t="shared" si="38"/>
        <v>Typical Angina</v>
      </c>
      <c r="R443" t="str">
        <f t="shared" si="39"/>
        <v>Normal</v>
      </c>
      <c r="S443" t="str">
        <f t="shared" si="40"/>
        <v>No</v>
      </c>
      <c r="T443" t="str" cm="1">
        <f t="array" ref="T443">_xlfn.IFS(A442&lt;30,"18-29",A442&lt;40,"30-39",A442&lt;50,"40-49",A442&lt;60,"50-59",A442&gt;=60,"60+")</f>
        <v>60+</v>
      </c>
      <c r="U443" t="str">
        <f t="shared" si="41"/>
        <v>High (Stage 2)</v>
      </c>
    </row>
    <row r="444" spans="1:21">
      <c r="A444">
        <v>57</v>
      </c>
      <c r="B444">
        <v>1</v>
      </c>
      <c r="C444">
        <v>0</v>
      </c>
      <c r="D444">
        <v>152</v>
      </c>
      <c r="E444">
        <v>274</v>
      </c>
      <c r="F444">
        <v>0</v>
      </c>
      <c r="G444">
        <v>1</v>
      </c>
      <c r="H444">
        <v>88</v>
      </c>
      <c r="I444">
        <v>1</v>
      </c>
      <c r="J444">
        <v>1.2</v>
      </c>
      <c r="K444">
        <v>1</v>
      </c>
      <c r="L444">
        <v>1</v>
      </c>
      <c r="M444">
        <v>3</v>
      </c>
      <c r="N444">
        <v>0</v>
      </c>
      <c r="O444" t="str">
        <f t="shared" si="36"/>
        <v>Male</v>
      </c>
      <c r="P444" t="str">
        <f t="shared" si="37"/>
        <v>No Disease</v>
      </c>
      <c r="Q444" t="str">
        <f t="shared" si="38"/>
        <v>Typical Angina</v>
      </c>
      <c r="R444" t="str">
        <f t="shared" si="39"/>
        <v>Normal</v>
      </c>
      <c r="S444" t="str">
        <f t="shared" si="40"/>
        <v>Yes</v>
      </c>
      <c r="T444" t="str" cm="1">
        <f t="array" ref="T444">_xlfn.IFS(A443&lt;30,"18-29",A443&lt;40,"30-39",A443&lt;50,"40-49",A443&lt;60,"50-59",A443&gt;=60,"60+")</f>
        <v>60+</v>
      </c>
      <c r="U444" t="str">
        <f t="shared" si="41"/>
        <v>High (Stage 2)</v>
      </c>
    </row>
    <row r="445" spans="1:21">
      <c r="A445">
        <v>57</v>
      </c>
      <c r="B445">
        <v>1</v>
      </c>
      <c r="C445">
        <v>2</v>
      </c>
      <c r="D445">
        <v>150</v>
      </c>
      <c r="E445">
        <v>168</v>
      </c>
      <c r="F445">
        <v>0</v>
      </c>
      <c r="G445">
        <v>1</v>
      </c>
      <c r="H445">
        <v>174</v>
      </c>
      <c r="I445">
        <v>0</v>
      </c>
      <c r="J445">
        <v>1.6</v>
      </c>
      <c r="K445">
        <v>2</v>
      </c>
      <c r="L445">
        <v>0</v>
      </c>
      <c r="M445">
        <v>2</v>
      </c>
      <c r="N445">
        <v>1</v>
      </c>
      <c r="O445" t="str">
        <f t="shared" si="36"/>
        <v>Male</v>
      </c>
      <c r="P445" t="str">
        <f t="shared" si="37"/>
        <v>Heart Disease</v>
      </c>
      <c r="Q445" t="str">
        <f t="shared" si="38"/>
        <v>Non-Anginal Pain</v>
      </c>
      <c r="R445" t="str">
        <f t="shared" si="39"/>
        <v>Normal</v>
      </c>
      <c r="S445" t="str">
        <f t="shared" si="40"/>
        <v>No</v>
      </c>
      <c r="T445" t="str" cm="1">
        <f t="array" ref="T445">_xlfn.IFS(A444&lt;30,"18-29",A444&lt;40,"30-39",A444&lt;50,"40-49",A444&lt;60,"50-59",A444&gt;=60,"60+")</f>
        <v>50-59</v>
      </c>
      <c r="U445" t="str">
        <f t="shared" si="41"/>
        <v>High (Stage 2)</v>
      </c>
    </row>
    <row r="446" spans="1:21">
      <c r="A446">
        <v>47</v>
      </c>
      <c r="B446">
        <v>1</v>
      </c>
      <c r="C446">
        <v>2</v>
      </c>
      <c r="D446">
        <v>130</v>
      </c>
      <c r="E446">
        <v>253</v>
      </c>
      <c r="F446">
        <v>0</v>
      </c>
      <c r="G446">
        <v>1</v>
      </c>
      <c r="H446">
        <v>179</v>
      </c>
      <c r="I446">
        <v>0</v>
      </c>
      <c r="J446">
        <v>0</v>
      </c>
      <c r="K446">
        <v>2</v>
      </c>
      <c r="L446">
        <v>0</v>
      </c>
      <c r="M446">
        <v>2</v>
      </c>
      <c r="N446">
        <v>1</v>
      </c>
      <c r="O446" t="str">
        <f t="shared" si="36"/>
        <v>Male</v>
      </c>
      <c r="P446" t="str">
        <f t="shared" si="37"/>
        <v>Heart Disease</v>
      </c>
      <c r="Q446" t="str">
        <f t="shared" si="38"/>
        <v>Non-Anginal Pain</v>
      </c>
      <c r="R446" t="str">
        <f t="shared" si="39"/>
        <v>Normal</v>
      </c>
      <c r="S446" t="str">
        <f t="shared" si="40"/>
        <v>No</v>
      </c>
      <c r="T446" t="str" cm="1">
        <f t="array" ref="T446">_xlfn.IFS(A445&lt;30,"18-29",A445&lt;40,"30-39",A445&lt;50,"40-49",A445&lt;60,"50-59",A445&gt;=60,"60+")</f>
        <v>50-59</v>
      </c>
      <c r="U446" t="str">
        <f t="shared" si="41"/>
        <v>High (Stage 1)</v>
      </c>
    </row>
    <row r="447" spans="1:21">
      <c r="A447">
        <v>52</v>
      </c>
      <c r="B447">
        <v>1</v>
      </c>
      <c r="C447">
        <v>1</v>
      </c>
      <c r="D447">
        <v>128</v>
      </c>
      <c r="E447">
        <v>205</v>
      </c>
      <c r="F447">
        <v>1</v>
      </c>
      <c r="G447">
        <v>1</v>
      </c>
      <c r="H447">
        <v>184</v>
      </c>
      <c r="I447">
        <v>0</v>
      </c>
      <c r="J447">
        <v>0</v>
      </c>
      <c r="K447">
        <v>2</v>
      </c>
      <c r="L447">
        <v>0</v>
      </c>
      <c r="M447">
        <v>2</v>
      </c>
      <c r="N447">
        <v>1</v>
      </c>
      <c r="O447" t="str">
        <f t="shared" si="36"/>
        <v>Male</v>
      </c>
      <c r="P447" t="str">
        <f t="shared" si="37"/>
        <v>Heart Disease</v>
      </c>
      <c r="Q447" t="str">
        <f t="shared" si="38"/>
        <v>Atypical Angina</v>
      </c>
      <c r="R447" t="str">
        <f t="shared" si="39"/>
        <v>High</v>
      </c>
      <c r="S447" t="str">
        <f t="shared" si="40"/>
        <v>No</v>
      </c>
      <c r="T447" t="str" cm="1">
        <f t="array" ref="T447">_xlfn.IFS(A446&lt;30,"18-29",A446&lt;40,"30-39",A446&lt;50,"40-49",A446&lt;60,"50-59",A446&gt;=60,"60+")</f>
        <v>40-49</v>
      </c>
      <c r="U447" t="str">
        <f t="shared" si="41"/>
        <v>Elevated</v>
      </c>
    </row>
    <row r="448" spans="1:21">
      <c r="A448">
        <v>53</v>
      </c>
      <c r="B448">
        <v>1</v>
      </c>
      <c r="C448">
        <v>2</v>
      </c>
      <c r="D448">
        <v>130</v>
      </c>
      <c r="E448">
        <v>246</v>
      </c>
      <c r="F448">
        <v>1</v>
      </c>
      <c r="G448">
        <v>0</v>
      </c>
      <c r="H448">
        <v>173</v>
      </c>
      <c r="I448">
        <v>0</v>
      </c>
      <c r="J448">
        <v>0</v>
      </c>
      <c r="K448">
        <v>2</v>
      </c>
      <c r="L448">
        <v>3</v>
      </c>
      <c r="M448">
        <v>2</v>
      </c>
      <c r="N448">
        <v>1</v>
      </c>
      <c r="O448" t="str">
        <f t="shared" si="36"/>
        <v>Male</v>
      </c>
      <c r="P448" t="str">
        <f t="shared" si="37"/>
        <v>Heart Disease</v>
      </c>
      <c r="Q448" t="str">
        <f t="shared" si="38"/>
        <v>Non-Anginal Pain</v>
      </c>
      <c r="R448" t="str">
        <f t="shared" si="39"/>
        <v>High</v>
      </c>
      <c r="S448" t="str">
        <f t="shared" si="40"/>
        <v>No</v>
      </c>
      <c r="T448" t="str" cm="1">
        <f t="array" ref="T448">_xlfn.IFS(A447&lt;30,"18-29",A447&lt;40,"30-39",A447&lt;50,"40-49",A447&lt;60,"50-59",A447&gt;=60,"60+")</f>
        <v>50-59</v>
      </c>
      <c r="U448" t="str">
        <f t="shared" si="41"/>
        <v>High (Stage 1)</v>
      </c>
    </row>
    <row r="449" spans="1:21">
      <c r="A449">
        <v>55</v>
      </c>
      <c r="B449">
        <v>1</v>
      </c>
      <c r="C449">
        <v>0</v>
      </c>
      <c r="D449">
        <v>160</v>
      </c>
      <c r="E449">
        <v>289</v>
      </c>
      <c r="F449">
        <v>0</v>
      </c>
      <c r="G449">
        <v>0</v>
      </c>
      <c r="H449">
        <v>145</v>
      </c>
      <c r="I449">
        <v>1</v>
      </c>
      <c r="J449">
        <v>0.8</v>
      </c>
      <c r="K449">
        <v>1</v>
      </c>
      <c r="L449">
        <v>1</v>
      </c>
      <c r="M449">
        <v>3</v>
      </c>
      <c r="N449">
        <v>0</v>
      </c>
      <c r="O449" t="str">
        <f t="shared" si="36"/>
        <v>Male</v>
      </c>
      <c r="P449" t="str">
        <f t="shared" si="37"/>
        <v>No Disease</v>
      </c>
      <c r="Q449" t="str">
        <f t="shared" si="38"/>
        <v>Typical Angina</v>
      </c>
      <c r="R449" t="str">
        <f t="shared" si="39"/>
        <v>Normal</v>
      </c>
      <c r="S449" t="str">
        <f t="shared" si="40"/>
        <v>Yes</v>
      </c>
      <c r="T449" t="str" cm="1">
        <f t="array" ref="T449">_xlfn.IFS(A448&lt;30,"18-29",A448&lt;40,"30-39",A448&lt;50,"40-49",A448&lt;60,"50-59",A448&gt;=60,"60+")</f>
        <v>50-59</v>
      </c>
      <c r="U449" t="str">
        <f t="shared" si="41"/>
        <v>High (Stage 2)</v>
      </c>
    </row>
    <row r="450" spans="1:21">
      <c r="A450">
        <v>51</v>
      </c>
      <c r="B450">
        <v>0</v>
      </c>
      <c r="C450">
        <v>2</v>
      </c>
      <c r="D450">
        <v>120</v>
      </c>
      <c r="E450">
        <v>295</v>
      </c>
      <c r="F450">
        <v>0</v>
      </c>
      <c r="G450">
        <v>0</v>
      </c>
      <c r="H450">
        <v>157</v>
      </c>
      <c r="I450">
        <v>0</v>
      </c>
      <c r="J450">
        <v>0.6</v>
      </c>
      <c r="K450">
        <v>2</v>
      </c>
      <c r="L450">
        <v>0</v>
      </c>
      <c r="M450">
        <v>2</v>
      </c>
      <c r="N450">
        <v>1</v>
      </c>
      <c r="O450" t="str">
        <f t="shared" ref="O450:O513" si="42">IF(B450=1,"Male","Female")</f>
        <v>Female</v>
      </c>
      <c r="P450" t="str">
        <f t="shared" ref="P450:P513" si="43">IF(N450=1,"Heart Disease","No Disease")</f>
        <v>Heart Disease</v>
      </c>
      <c r="Q450" t="str">
        <f t="shared" ref="Q450:Q513" si="44">IF(C450=0,"Typical Angina",IF(C450=1,"Atypical Angina",IF(C450=2,"Non-Anginal Pain","Asymptomatic")))</f>
        <v>Non-Anginal Pain</v>
      </c>
      <c r="R450" t="str">
        <f t="shared" ref="R450:R513" si="45">IF(F450=1,"High","Normal")</f>
        <v>Normal</v>
      </c>
      <c r="S450" t="str">
        <f t="shared" ref="S450:S513" si="46">IF(I450=1,"Yes","No")</f>
        <v>No</v>
      </c>
      <c r="T450" t="str" cm="1">
        <f t="array" ref="T450">_xlfn.IFS(A449&lt;30,"18-29",A449&lt;40,"30-39",A449&lt;50,"40-49",A449&lt;60,"50-59",A449&gt;=60,"60+")</f>
        <v>50-59</v>
      </c>
      <c r="U450" t="str">
        <f t="shared" ref="U450:U513" si="47">IF(D450&lt;120,"Normal",IF(D450&lt;130,"Elevated",IF(D450&lt;140,"High (Stage 1)","High (Stage 2)")))</f>
        <v>Elevated</v>
      </c>
    </row>
    <row r="451" spans="1:21">
      <c r="A451">
        <v>52</v>
      </c>
      <c r="B451">
        <v>1</v>
      </c>
      <c r="C451">
        <v>0</v>
      </c>
      <c r="D451">
        <v>112</v>
      </c>
      <c r="E451">
        <v>230</v>
      </c>
      <c r="F451">
        <v>0</v>
      </c>
      <c r="G451">
        <v>1</v>
      </c>
      <c r="H451">
        <v>160</v>
      </c>
      <c r="I451">
        <v>0</v>
      </c>
      <c r="J451">
        <v>0</v>
      </c>
      <c r="K451">
        <v>2</v>
      </c>
      <c r="L451">
        <v>1</v>
      </c>
      <c r="M451">
        <v>2</v>
      </c>
      <c r="N451">
        <v>0</v>
      </c>
      <c r="O451" t="str">
        <f t="shared" si="42"/>
        <v>Male</v>
      </c>
      <c r="P451" t="str">
        <f t="shared" si="43"/>
        <v>No Disease</v>
      </c>
      <c r="Q451" t="str">
        <f t="shared" si="44"/>
        <v>Typical Angina</v>
      </c>
      <c r="R451" t="str">
        <f t="shared" si="45"/>
        <v>Normal</v>
      </c>
      <c r="S451" t="str">
        <f t="shared" si="46"/>
        <v>No</v>
      </c>
      <c r="T451" t="str" cm="1">
        <f t="array" ref="T451">_xlfn.IFS(A450&lt;30,"18-29",A450&lt;40,"30-39",A450&lt;50,"40-49",A450&lt;60,"50-59",A450&gt;=60,"60+")</f>
        <v>50-59</v>
      </c>
      <c r="U451" t="str">
        <f t="shared" si="47"/>
        <v>Normal</v>
      </c>
    </row>
    <row r="452" spans="1:21">
      <c r="A452">
        <v>63</v>
      </c>
      <c r="B452">
        <v>0</v>
      </c>
      <c r="C452">
        <v>0</v>
      </c>
      <c r="D452">
        <v>150</v>
      </c>
      <c r="E452">
        <v>407</v>
      </c>
      <c r="F452">
        <v>0</v>
      </c>
      <c r="G452">
        <v>0</v>
      </c>
      <c r="H452">
        <v>154</v>
      </c>
      <c r="I452">
        <v>0</v>
      </c>
      <c r="J452">
        <v>4</v>
      </c>
      <c r="K452">
        <v>1</v>
      </c>
      <c r="L452">
        <v>3</v>
      </c>
      <c r="M452">
        <v>3</v>
      </c>
      <c r="N452">
        <v>0</v>
      </c>
      <c r="O452" t="str">
        <f t="shared" si="42"/>
        <v>Female</v>
      </c>
      <c r="P452" t="str">
        <f t="shared" si="43"/>
        <v>No Disease</v>
      </c>
      <c r="Q452" t="str">
        <f t="shared" si="44"/>
        <v>Typical Angina</v>
      </c>
      <c r="R452" t="str">
        <f t="shared" si="45"/>
        <v>Normal</v>
      </c>
      <c r="S452" t="str">
        <f t="shared" si="46"/>
        <v>No</v>
      </c>
      <c r="T452" t="str" cm="1">
        <f t="array" ref="T452">_xlfn.IFS(A451&lt;30,"18-29",A451&lt;40,"30-39",A451&lt;50,"40-49",A451&lt;60,"50-59",A451&gt;=60,"60+")</f>
        <v>50-59</v>
      </c>
      <c r="U452" t="str">
        <f t="shared" si="47"/>
        <v>High (Stage 2)</v>
      </c>
    </row>
    <row r="453" spans="1:21">
      <c r="A453">
        <v>49</v>
      </c>
      <c r="B453">
        <v>0</v>
      </c>
      <c r="C453">
        <v>1</v>
      </c>
      <c r="D453">
        <v>134</v>
      </c>
      <c r="E453">
        <v>271</v>
      </c>
      <c r="F453">
        <v>0</v>
      </c>
      <c r="G453">
        <v>1</v>
      </c>
      <c r="H453">
        <v>162</v>
      </c>
      <c r="I453">
        <v>0</v>
      </c>
      <c r="J453">
        <v>0</v>
      </c>
      <c r="K453">
        <v>1</v>
      </c>
      <c r="L453">
        <v>0</v>
      </c>
      <c r="M453">
        <v>2</v>
      </c>
      <c r="N453">
        <v>1</v>
      </c>
      <c r="O453" t="str">
        <f t="shared" si="42"/>
        <v>Female</v>
      </c>
      <c r="P453" t="str">
        <f t="shared" si="43"/>
        <v>Heart Disease</v>
      </c>
      <c r="Q453" t="str">
        <f t="shared" si="44"/>
        <v>Atypical Angina</v>
      </c>
      <c r="R453" t="str">
        <f t="shared" si="45"/>
        <v>Normal</v>
      </c>
      <c r="S453" t="str">
        <f t="shared" si="46"/>
        <v>No</v>
      </c>
      <c r="T453" t="str" cm="1">
        <f t="array" ref="T453">_xlfn.IFS(A452&lt;30,"18-29",A452&lt;40,"30-39",A452&lt;50,"40-49",A452&lt;60,"50-59",A452&gt;=60,"60+")</f>
        <v>60+</v>
      </c>
      <c r="U453" t="str">
        <f t="shared" si="47"/>
        <v>High (Stage 1)</v>
      </c>
    </row>
    <row r="454" spans="1:21">
      <c r="A454">
        <v>66</v>
      </c>
      <c r="B454">
        <v>0</v>
      </c>
      <c r="C454">
        <v>0</v>
      </c>
      <c r="D454">
        <v>178</v>
      </c>
      <c r="E454">
        <v>228</v>
      </c>
      <c r="F454">
        <v>1</v>
      </c>
      <c r="G454">
        <v>1</v>
      </c>
      <c r="H454">
        <v>165</v>
      </c>
      <c r="I454">
        <v>1</v>
      </c>
      <c r="J454">
        <v>1</v>
      </c>
      <c r="K454">
        <v>1</v>
      </c>
      <c r="L454">
        <v>2</v>
      </c>
      <c r="M454">
        <v>3</v>
      </c>
      <c r="N454">
        <v>0</v>
      </c>
      <c r="O454" t="str">
        <f t="shared" si="42"/>
        <v>Female</v>
      </c>
      <c r="P454" t="str">
        <f t="shared" si="43"/>
        <v>No Disease</v>
      </c>
      <c r="Q454" t="str">
        <f t="shared" si="44"/>
        <v>Typical Angina</v>
      </c>
      <c r="R454" t="str">
        <f t="shared" si="45"/>
        <v>High</v>
      </c>
      <c r="S454" t="str">
        <f t="shared" si="46"/>
        <v>Yes</v>
      </c>
      <c r="T454" t="str" cm="1">
        <f t="array" ref="T454">_xlfn.IFS(A453&lt;30,"18-29",A453&lt;40,"30-39",A453&lt;50,"40-49",A453&lt;60,"50-59",A453&gt;=60,"60+")</f>
        <v>40-49</v>
      </c>
      <c r="U454" t="str">
        <f t="shared" si="47"/>
        <v>High (Stage 2)</v>
      </c>
    </row>
    <row r="455" spans="1:21">
      <c r="A455">
        <v>49</v>
      </c>
      <c r="B455">
        <v>0</v>
      </c>
      <c r="C455">
        <v>1</v>
      </c>
      <c r="D455">
        <v>134</v>
      </c>
      <c r="E455">
        <v>271</v>
      </c>
      <c r="F455">
        <v>0</v>
      </c>
      <c r="G455">
        <v>1</v>
      </c>
      <c r="H455">
        <v>162</v>
      </c>
      <c r="I455">
        <v>0</v>
      </c>
      <c r="J455">
        <v>0</v>
      </c>
      <c r="K455">
        <v>1</v>
      </c>
      <c r="L455">
        <v>0</v>
      </c>
      <c r="M455">
        <v>2</v>
      </c>
      <c r="N455">
        <v>1</v>
      </c>
      <c r="O455" t="str">
        <f t="shared" si="42"/>
        <v>Female</v>
      </c>
      <c r="P455" t="str">
        <f t="shared" si="43"/>
        <v>Heart Disease</v>
      </c>
      <c r="Q455" t="str">
        <f t="shared" si="44"/>
        <v>Atypical Angina</v>
      </c>
      <c r="R455" t="str">
        <f t="shared" si="45"/>
        <v>Normal</v>
      </c>
      <c r="S455" t="str">
        <f t="shared" si="46"/>
        <v>No</v>
      </c>
      <c r="T455" t="str" cm="1">
        <f t="array" ref="T455">_xlfn.IFS(A454&lt;30,"18-29",A454&lt;40,"30-39",A454&lt;50,"40-49",A454&lt;60,"50-59",A454&gt;=60,"60+")</f>
        <v>60+</v>
      </c>
      <c r="U455" t="str">
        <f t="shared" si="47"/>
        <v>High (Stage 1)</v>
      </c>
    </row>
    <row r="456" spans="1:21">
      <c r="A456">
        <v>65</v>
      </c>
      <c r="B456">
        <v>0</v>
      </c>
      <c r="C456">
        <v>0</v>
      </c>
      <c r="D456">
        <v>150</v>
      </c>
      <c r="E456">
        <v>225</v>
      </c>
      <c r="F456">
        <v>0</v>
      </c>
      <c r="G456">
        <v>0</v>
      </c>
      <c r="H456">
        <v>114</v>
      </c>
      <c r="I456">
        <v>0</v>
      </c>
      <c r="J456">
        <v>1</v>
      </c>
      <c r="K456">
        <v>1</v>
      </c>
      <c r="L456">
        <v>3</v>
      </c>
      <c r="M456">
        <v>3</v>
      </c>
      <c r="N456">
        <v>0</v>
      </c>
      <c r="O456" t="str">
        <f t="shared" si="42"/>
        <v>Female</v>
      </c>
      <c r="P456" t="str">
        <f t="shared" si="43"/>
        <v>No Disease</v>
      </c>
      <c r="Q456" t="str">
        <f t="shared" si="44"/>
        <v>Typical Angina</v>
      </c>
      <c r="R456" t="str">
        <f t="shared" si="45"/>
        <v>Normal</v>
      </c>
      <c r="S456" t="str">
        <f t="shared" si="46"/>
        <v>No</v>
      </c>
      <c r="T456" t="str" cm="1">
        <f t="array" ref="T456">_xlfn.IFS(A455&lt;30,"18-29",A455&lt;40,"30-39",A455&lt;50,"40-49",A455&lt;60,"50-59",A455&gt;=60,"60+")</f>
        <v>40-49</v>
      </c>
      <c r="U456" t="str">
        <f t="shared" si="47"/>
        <v>High (Stage 2)</v>
      </c>
    </row>
    <row r="457" spans="1:21">
      <c r="A457">
        <v>69</v>
      </c>
      <c r="B457">
        <v>1</v>
      </c>
      <c r="C457">
        <v>3</v>
      </c>
      <c r="D457">
        <v>160</v>
      </c>
      <c r="E457">
        <v>234</v>
      </c>
      <c r="F457">
        <v>1</v>
      </c>
      <c r="G457">
        <v>0</v>
      </c>
      <c r="H457">
        <v>131</v>
      </c>
      <c r="I457">
        <v>0</v>
      </c>
      <c r="J457">
        <v>0.1</v>
      </c>
      <c r="K457">
        <v>1</v>
      </c>
      <c r="L457">
        <v>1</v>
      </c>
      <c r="M457">
        <v>2</v>
      </c>
      <c r="N457">
        <v>1</v>
      </c>
      <c r="O457" t="str">
        <f t="shared" si="42"/>
        <v>Male</v>
      </c>
      <c r="P457" t="str">
        <f t="shared" si="43"/>
        <v>Heart Disease</v>
      </c>
      <c r="Q457" t="str">
        <f t="shared" si="44"/>
        <v>Asymptomatic</v>
      </c>
      <c r="R457" t="str">
        <f t="shared" si="45"/>
        <v>High</v>
      </c>
      <c r="S457" t="str">
        <f t="shared" si="46"/>
        <v>No</v>
      </c>
      <c r="T457" t="str" cm="1">
        <f t="array" ref="T457">_xlfn.IFS(A456&lt;30,"18-29",A456&lt;40,"30-39",A456&lt;50,"40-49",A456&lt;60,"50-59",A456&gt;=60,"60+")</f>
        <v>60+</v>
      </c>
      <c r="U457" t="str">
        <f t="shared" si="47"/>
        <v>High (Stage 2)</v>
      </c>
    </row>
    <row r="458" spans="1:21">
      <c r="A458">
        <v>47</v>
      </c>
      <c r="B458">
        <v>1</v>
      </c>
      <c r="C458">
        <v>2</v>
      </c>
      <c r="D458">
        <v>108</v>
      </c>
      <c r="E458">
        <v>243</v>
      </c>
      <c r="F458">
        <v>0</v>
      </c>
      <c r="G458">
        <v>1</v>
      </c>
      <c r="H458">
        <v>152</v>
      </c>
      <c r="I458">
        <v>0</v>
      </c>
      <c r="J458">
        <v>0</v>
      </c>
      <c r="K458">
        <v>2</v>
      </c>
      <c r="L458">
        <v>0</v>
      </c>
      <c r="M458">
        <v>2</v>
      </c>
      <c r="N458">
        <v>0</v>
      </c>
      <c r="O458" t="str">
        <f t="shared" si="42"/>
        <v>Male</v>
      </c>
      <c r="P458" t="str">
        <f t="shared" si="43"/>
        <v>No Disease</v>
      </c>
      <c r="Q458" t="str">
        <f t="shared" si="44"/>
        <v>Non-Anginal Pain</v>
      </c>
      <c r="R458" t="str">
        <f t="shared" si="45"/>
        <v>Normal</v>
      </c>
      <c r="S458" t="str">
        <f t="shared" si="46"/>
        <v>No</v>
      </c>
      <c r="T458" t="str" cm="1">
        <f t="array" ref="T458">_xlfn.IFS(A457&lt;30,"18-29",A457&lt;40,"30-39",A457&lt;50,"40-49",A457&lt;60,"50-59",A457&gt;=60,"60+")</f>
        <v>60+</v>
      </c>
      <c r="U458" t="str">
        <f t="shared" si="47"/>
        <v>Normal</v>
      </c>
    </row>
    <row r="459" spans="1:21">
      <c r="A459">
        <v>39</v>
      </c>
      <c r="B459">
        <v>0</v>
      </c>
      <c r="C459">
        <v>2</v>
      </c>
      <c r="D459">
        <v>138</v>
      </c>
      <c r="E459">
        <v>220</v>
      </c>
      <c r="F459">
        <v>0</v>
      </c>
      <c r="G459">
        <v>1</v>
      </c>
      <c r="H459">
        <v>152</v>
      </c>
      <c r="I459">
        <v>0</v>
      </c>
      <c r="J459">
        <v>0</v>
      </c>
      <c r="K459">
        <v>1</v>
      </c>
      <c r="L459">
        <v>0</v>
      </c>
      <c r="M459">
        <v>2</v>
      </c>
      <c r="N459">
        <v>1</v>
      </c>
      <c r="O459" t="str">
        <f t="shared" si="42"/>
        <v>Female</v>
      </c>
      <c r="P459" t="str">
        <f t="shared" si="43"/>
        <v>Heart Disease</v>
      </c>
      <c r="Q459" t="str">
        <f t="shared" si="44"/>
        <v>Non-Anginal Pain</v>
      </c>
      <c r="R459" t="str">
        <f t="shared" si="45"/>
        <v>Normal</v>
      </c>
      <c r="S459" t="str">
        <f t="shared" si="46"/>
        <v>No</v>
      </c>
      <c r="T459" t="str" cm="1">
        <f t="array" ref="T459">_xlfn.IFS(A458&lt;30,"18-29",A458&lt;40,"30-39",A458&lt;50,"40-49",A458&lt;60,"50-59",A458&gt;=60,"60+")</f>
        <v>40-49</v>
      </c>
      <c r="U459" t="str">
        <f t="shared" si="47"/>
        <v>High (Stage 1)</v>
      </c>
    </row>
    <row r="460" spans="1:21">
      <c r="A460">
        <v>43</v>
      </c>
      <c r="B460">
        <v>1</v>
      </c>
      <c r="C460">
        <v>0</v>
      </c>
      <c r="D460">
        <v>150</v>
      </c>
      <c r="E460">
        <v>247</v>
      </c>
      <c r="F460">
        <v>0</v>
      </c>
      <c r="G460">
        <v>1</v>
      </c>
      <c r="H460">
        <v>171</v>
      </c>
      <c r="I460">
        <v>0</v>
      </c>
      <c r="J460">
        <v>1.5</v>
      </c>
      <c r="K460">
        <v>2</v>
      </c>
      <c r="L460">
        <v>0</v>
      </c>
      <c r="M460">
        <v>2</v>
      </c>
      <c r="N460">
        <v>1</v>
      </c>
      <c r="O460" t="str">
        <f t="shared" si="42"/>
        <v>Male</v>
      </c>
      <c r="P460" t="str">
        <f t="shared" si="43"/>
        <v>Heart Disease</v>
      </c>
      <c r="Q460" t="str">
        <f t="shared" si="44"/>
        <v>Typical Angina</v>
      </c>
      <c r="R460" t="str">
        <f t="shared" si="45"/>
        <v>Normal</v>
      </c>
      <c r="S460" t="str">
        <f t="shared" si="46"/>
        <v>No</v>
      </c>
      <c r="T460" t="str" cm="1">
        <f t="array" ref="T460">_xlfn.IFS(A459&lt;30,"18-29",A459&lt;40,"30-39",A459&lt;50,"40-49",A459&lt;60,"50-59",A459&gt;=60,"60+")</f>
        <v>30-39</v>
      </c>
      <c r="U460" t="str">
        <f t="shared" si="47"/>
        <v>High (Stage 2)</v>
      </c>
    </row>
    <row r="461" spans="1:21">
      <c r="A461">
        <v>51</v>
      </c>
      <c r="B461">
        <v>1</v>
      </c>
      <c r="C461">
        <v>0</v>
      </c>
      <c r="D461">
        <v>140</v>
      </c>
      <c r="E461">
        <v>261</v>
      </c>
      <c r="F461">
        <v>0</v>
      </c>
      <c r="G461">
        <v>0</v>
      </c>
      <c r="H461">
        <v>186</v>
      </c>
      <c r="I461">
        <v>1</v>
      </c>
      <c r="J461">
        <v>0</v>
      </c>
      <c r="K461">
        <v>2</v>
      </c>
      <c r="L461">
        <v>0</v>
      </c>
      <c r="M461">
        <v>2</v>
      </c>
      <c r="N461">
        <v>1</v>
      </c>
      <c r="O461" t="str">
        <f t="shared" si="42"/>
        <v>Male</v>
      </c>
      <c r="P461" t="str">
        <f t="shared" si="43"/>
        <v>Heart Disease</v>
      </c>
      <c r="Q461" t="str">
        <f t="shared" si="44"/>
        <v>Typical Angina</v>
      </c>
      <c r="R461" t="str">
        <f t="shared" si="45"/>
        <v>Normal</v>
      </c>
      <c r="S461" t="str">
        <f t="shared" si="46"/>
        <v>Yes</v>
      </c>
      <c r="T461" t="str" cm="1">
        <f t="array" ref="T461">_xlfn.IFS(A460&lt;30,"18-29",A460&lt;40,"30-39",A460&lt;50,"40-49",A460&lt;60,"50-59",A460&gt;=60,"60+")</f>
        <v>40-49</v>
      </c>
      <c r="U461" t="str">
        <f t="shared" si="47"/>
        <v>High (Stage 2)</v>
      </c>
    </row>
    <row r="462" spans="1:21">
      <c r="A462">
        <v>69</v>
      </c>
      <c r="B462">
        <v>1</v>
      </c>
      <c r="C462">
        <v>2</v>
      </c>
      <c r="D462">
        <v>140</v>
      </c>
      <c r="E462">
        <v>254</v>
      </c>
      <c r="F462">
        <v>0</v>
      </c>
      <c r="G462">
        <v>0</v>
      </c>
      <c r="H462">
        <v>146</v>
      </c>
      <c r="I462">
        <v>0</v>
      </c>
      <c r="J462">
        <v>2</v>
      </c>
      <c r="K462">
        <v>1</v>
      </c>
      <c r="L462">
        <v>3</v>
      </c>
      <c r="M462">
        <v>3</v>
      </c>
      <c r="N462">
        <v>0</v>
      </c>
      <c r="O462" t="str">
        <f t="shared" si="42"/>
        <v>Male</v>
      </c>
      <c r="P462" t="str">
        <f t="shared" si="43"/>
        <v>No Disease</v>
      </c>
      <c r="Q462" t="str">
        <f t="shared" si="44"/>
        <v>Non-Anginal Pain</v>
      </c>
      <c r="R462" t="str">
        <f t="shared" si="45"/>
        <v>Normal</v>
      </c>
      <c r="S462" t="str">
        <f t="shared" si="46"/>
        <v>No</v>
      </c>
      <c r="T462" t="str" cm="1">
        <f t="array" ref="T462">_xlfn.IFS(A461&lt;30,"18-29",A461&lt;40,"30-39",A461&lt;50,"40-49",A461&lt;60,"50-59",A461&gt;=60,"60+")</f>
        <v>50-59</v>
      </c>
      <c r="U462" t="str">
        <f t="shared" si="47"/>
        <v>High (Stage 2)</v>
      </c>
    </row>
    <row r="463" spans="1:21">
      <c r="A463">
        <v>48</v>
      </c>
      <c r="B463">
        <v>1</v>
      </c>
      <c r="C463">
        <v>2</v>
      </c>
      <c r="D463">
        <v>124</v>
      </c>
      <c r="E463">
        <v>255</v>
      </c>
      <c r="F463">
        <v>1</v>
      </c>
      <c r="G463">
        <v>1</v>
      </c>
      <c r="H463">
        <v>175</v>
      </c>
      <c r="I463">
        <v>0</v>
      </c>
      <c r="J463">
        <v>0</v>
      </c>
      <c r="K463">
        <v>2</v>
      </c>
      <c r="L463">
        <v>2</v>
      </c>
      <c r="M463">
        <v>2</v>
      </c>
      <c r="N463">
        <v>1</v>
      </c>
      <c r="O463" t="str">
        <f t="shared" si="42"/>
        <v>Male</v>
      </c>
      <c r="P463" t="str">
        <f t="shared" si="43"/>
        <v>Heart Disease</v>
      </c>
      <c r="Q463" t="str">
        <f t="shared" si="44"/>
        <v>Non-Anginal Pain</v>
      </c>
      <c r="R463" t="str">
        <f t="shared" si="45"/>
        <v>High</v>
      </c>
      <c r="S463" t="str">
        <f t="shared" si="46"/>
        <v>No</v>
      </c>
      <c r="T463" t="str" cm="1">
        <f t="array" ref="T463">_xlfn.IFS(A462&lt;30,"18-29",A462&lt;40,"30-39",A462&lt;50,"40-49",A462&lt;60,"50-59",A462&gt;=60,"60+")</f>
        <v>60+</v>
      </c>
      <c r="U463" t="str">
        <f t="shared" si="47"/>
        <v>Elevated</v>
      </c>
    </row>
    <row r="464" spans="1:21">
      <c r="A464">
        <v>52</v>
      </c>
      <c r="B464">
        <v>1</v>
      </c>
      <c r="C464">
        <v>3</v>
      </c>
      <c r="D464">
        <v>118</v>
      </c>
      <c r="E464">
        <v>186</v>
      </c>
      <c r="F464">
        <v>0</v>
      </c>
      <c r="G464">
        <v>0</v>
      </c>
      <c r="H464">
        <v>190</v>
      </c>
      <c r="I464">
        <v>0</v>
      </c>
      <c r="J464">
        <v>0</v>
      </c>
      <c r="K464">
        <v>1</v>
      </c>
      <c r="L464">
        <v>0</v>
      </c>
      <c r="M464">
        <v>1</v>
      </c>
      <c r="N464">
        <v>1</v>
      </c>
      <c r="O464" t="str">
        <f t="shared" si="42"/>
        <v>Male</v>
      </c>
      <c r="P464" t="str">
        <f t="shared" si="43"/>
        <v>Heart Disease</v>
      </c>
      <c r="Q464" t="str">
        <f t="shared" si="44"/>
        <v>Asymptomatic</v>
      </c>
      <c r="R464" t="str">
        <f t="shared" si="45"/>
        <v>Normal</v>
      </c>
      <c r="S464" t="str">
        <f t="shared" si="46"/>
        <v>No</v>
      </c>
      <c r="T464" t="str" cm="1">
        <f t="array" ref="T464">_xlfn.IFS(A463&lt;30,"18-29",A463&lt;40,"30-39",A463&lt;50,"40-49",A463&lt;60,"50-59",A463&gt;=60,"60+")</f>
        <v>40-49</v>
      </c>
      <c r="U464" t="str">
        <f t="shared" si="47"/>
        <v>Normal</v>
      </c>
    </row>
    <row r="465" spans="1:21">
      <c r="A465">
        <v>43</v>
      </c>
      <c r="B465">
        <v>1</v>
      </c>
      <c r="C465">
        <v>0</v>
      </c>
      <c r="D465">
        <v>110</v>
      </c>
      <c r="E465">
        <v>211</v>
      </c>
      <c r="F465">
        <v>0</v>
      </c>
      <c r="G465">
        <v>1</v>
      </c>
      <c r="H465">
        <v>161</v>
      </c>
      <c r="I465">
        <v>0</v>
      </c>
      <c r="J465">
        <v>0</v>
      </c>
      <c r="K465">
        <v>2</v>
      </c>
      <c r="L465">
        <v>0</v>
      </c>
      <c r="M465">
        <v>3</v>
      </c>
      <c r="N465">
        <v>1</v>
      </c>
      <c r="O465" t="str">
        <f t="shared" si="42"/>
        <v>Male</v>
      </c>
      <c r="P465" t="str">
        <f t="shared" si="43"/>
        <v>Heart Disease</v>
      </c>
      <c r="Q465" t="str">
        <f t="shared" si="44"/>
        <v>Typical Angina</v>
      </c>
      <c r="R465" t="str">
        <f t="shared" si="45"/>
        <v>Normal</v>
      </c>
      <c r="S465" t="str">
        <f t="shared" si="46"/>
        <v>No</v>
      </c>
      <c r="T465" t="str" cm="1">
        <f t="array" ref="T465">_xlfn.IFS(A464&lt;30,"18-29",A464&lt;40,"30-39",A464&lt;50,"40-49",A464&lt;60,"50-59",A464&gt;=60,"60+")</f>
        <v>50-59</v>
      </c>
      <c r="U465" t="str">
        <f t="shared" si="47"/>
        <v>Normal</v>
      </c>
    </row>
    <row r="466" spans="1:21">
      <c r="A466">
        <v>67</v>
      </c>
      <c r="B466">
        <v>0</v>
      </c>
      <c r="C466">
        <v>2</v>
      </c>
      <c r="D466">
        <v>115</v>
      </c>
      <c r="E466">
        <v>564</v>
      </c>
      <c r="F466">
        <v>0</v>
      </c>
      <c r="G466">
        <v>0</v>
      </c>
      <c r="H466">
        <v>160</v>
      </c>
      <c r="I466">
        <v>0</v>
      </c>
      <c r="J466">
        <v>1.6</v>
      </c>
      <c r="K466">
        <v>1</v>
      </c>
      <c r="L466">
        <v>0</v>
      </c>
      <c r="M466">
        <v>3</v>
      </c>
      <c r="N466">
        <v>1</v>
      </c>
      <c r="O466" t="str">
        <f t="shared" si="42"/>
        <v>Female</v>
      </c>
      <c r="P466" t="str">
        <f t="shared" si="43"/>
        <v>Heart Disease</v>
      </c>
      <c r="Q466" t="str">
        <f t="shared" si="44"/>
        <v>Non-Anginal Pain</v>
      </c>
      <c r="R466" t="str">
        <f t="shared" si="45"/>
        <v>Normal</v>
      </c>
      <c r="S466" t="str">
        <f t="shared" si="46"/>
        <v>No</v>
      </c>
      <c r="T466" t="str" cm="1">
        <f t="array" ref="T466">_xlfn.IFS(A465&lt;30,"18-29",A465&lt;40,"30-39",A465&lt;50,"40-49",A465&lt;60,"50-59",A465&gt;=60,"60+")</f>
        <v>40-49</v>
      </c>
      <c r="U466" t="str">
        <f t="shared" si="47"/>
        <v>Normal</v>
      </c>
    </row>
    <row r="467" spans="1:21">
      <c r="A467">
        <v>38</v>
      </c>
      <c r="B467">
        <v>1</v>
      </c>
      <c r="C467">
        <v>2</v>
      </c>
      <c r="D467">
        <v>138</v>
      </c>
      <c r="E467">
        <v>175</v>
      </c>
      <c r="F467">
        <v>0</v>
      </c>
      <c r="G467">
        <v>1</v>
      </c>
      <c r="H467">
        <v>173</v>
      </c>
      <c r="I467">
        <v>0</v>
      </c>
      <c r="J467">
        <v>0</v>
      </c>
      <c r="K467">
        <v>2</v>
      </c>
      <c r="L467">
        <v>4</v>
      </c>
      <c r="M467">
        <v>2</v>
      </c>
      <c r="N467">
        <v>1</v>
      </c>
      <c r="O467" t="str">
        <f t="shared" si="42"/>
        <v>Male</v>
      </c>
      <c r="P467" t="str">
        <f t="shared" si="43"/>
        <v>Heart Disease</v>
      </c>
      <c r="Q467" t="str">
        <f t="shared" si="44"/>
        <v>Non-Anginal Pain</v>
      </c>
      <c r="R467" t="str">
        <f t="shared" si="45"/>
        <v>Normal</v>
      </c>
      <c r="S467" t="str">
        <f t="shared" si="46"/>
        <v>No</v>
      </c>
      <c r="T467" t="str" cm="1">
        <f t="array" ref="T467">_xlfn.IFS(A466&lt;30,"18-29",A466&lt;40,"30-39",A466&lt;50,"40-49",A466&lt;60,"50-59",A466&gt;=60,"60+")</f>
        <v>60+</v>
      </c>
      <c r="U467" t="str">
        <f t="shared" si="47"/>
        <v>High (Stage 1)</v>
      </c>
    </row>
    <row r="468" spans="1:21">
      <c r="A468">
        <v>44</v>
      </c>
      <c r="B468">
        <v>1</v>
      </c>
      <c r="C468">
        <v>1</v>
      </c>
      <c r="D468">
        <v>130</v>
      </c>
      <c r="E468">
        <v>219</v>
      </c>
      <c r="F468">
        <v>0</v>
      </c>
      <c r="G468">
        <v>0</v>
      </c>
      <c r="H468">
        <v>188</v>
      </c>
      <c r="I468">
        <v>0</v>
      </c>
      <c r="J468">
        <v>0</v>
      </c>
      <c r="K468">
        <v>2</v>
      </c>
      <c r="L468">
        <v>0</v>
      </c>
      <c r="M468">
        <v>2</v>
      </c>
      <c r="N468">
        <v>1</v>
      </c>
      <c r="O468" t="str">
        <f t="shared" si="42"/>
        <v>Male</v>
      </c>
      <c r="P468" t="str">
        <f t="shared" si="43"/>
        <v>Heart Disease</v>
      </c>
      <c r="Q468" t="str">
        <f t="shared" si="44"/>
        <v>Atypical Angina</v>
      </c>
      <c r="R468" t="str">
        <f t="shared" si="45"/>
        <v>Normal</v>
      </c>
      <c r="S468" t="str">
        <f t="shared" si="46"/>
        <v>No</v>
      </c>
      <c r="T468" t="str" cm="1">
        <f t="array" ref="T468">_xlfn.IFS(A467&lt;30,"18-29",A467&lt;40,"30-39",A467&lt;50,"40-49",A467&lt;60,"50-59",A467&gt;=60,"60+")</f>
        <v>30-39</v>
      </c>
      <c r="U468" t="str">
        <f t="shared" si="47"/>
        <v>High (Stage 1)</v>
      </c>
    </row>
    <row r="469" spans="1:21">
      <c r="A469">
        <v>47</v>
      </c>
      <c r="B469">
        <v>1</v>
      </c>
      <c r="C469">
        <v>0</v>
      </c>
      <c r="D469">
        <v>110</v>
      </c>
      <c r="E469">
        <v>275</v>
      </c>
      <c r="F469">
        <v>0</v>
      </c>
      <c r="G469">
        <v>0</v>
      </c>
      <c r="H469">
        <v>118</v>
      </c>
      <c r="I469">
        <v>1</v>
      </c>
      <c r="J469">
        <v>1</v>
      </c>
      <c r="K469">
        <v>1</v>
      </c>
      <c r="L469">
        <v>1</v>
      </c>
      <c r="M469">
        <v>2</v>
      </c>
      <c r="N469">
        <v>0</v>
      </c>
      <c r="O469" t="str">
        <f t="shared" si="42"/>
        <v>Male</v>
      </c>
      <c r="P469" t="str">
        <f t="shared" si="43"/>
        <v>No Disease</v>
      </c>
      <c r="Q469" t="str">
        <f t="shared" si="44"/>
        <v>Typical Angina</v>
      </c>
      <c r="R469" t="str">
        <f t="shared" si="45"/>
        <v>Normal</v>
      </c>
      <c r="S469" t="str">
        <f t="shared" si="46"/>
        <v>Yes</v>
      </c>
      <c r="T469" t="str" cm="1">
        <f t="array" ref="T469">_xlfn.IFS(A468&lt;30,"18-29",A468&lt;40,"30-39",A468&lt;50,"40-49",A468&lt;60,"50-59",A468&gt;=60,"60+")</f>
        <v>40-49</v>
      </c>
      <c r="U469" t="str">
        <f t="shared" si="47"/>
        <v>Normal</v>
      </c>
    </row>
    <row r="470" spans="1:21">
      <c r="A470">
        <v>61</v>
      </c>
      <c r="B470">
        <v>1</v>
      </c>
      <c r="C470">
        <v>2</v>
      </c>
      <c r="D470">
        <v>150</v>
      </c>
      <c r="E470">
        <v>243</v>
      </c>
      <c r="F470">
        <v>1</v>
      </c>
      <c r="G470">
        <v>1</v>
      </c>
      <c r="H470">
        <v>137</v>
      </c>
      <c r="I470">
        <v>1</v>
      </c>
      <c r="J470">
        <v>1</v>
      </c>
      <c r="K470">
        <v>1</v>
      </c>
      <c r="L470">
        <v>0</v>
      </c>
      <c r="M470">
        <v>2</v>
      </c>
      <c r="N470">
        <v>1</v>
      </c>
      <c r="O470" t="str">
        <f t="shared" si="42"/>
        <v>Male</v>
      </c>
      <c r="P470" t="str">
        <f t="shared" si="43"/>
        <v>Heart Disease</v>
      </c>
      <c r="Q470" t="str">
        <f t="shared" si="44"/>
        <v>Non-Anginal Pain</v>
      </c>
      <c r="R470" t="str">
        <f t="shared" si="45"/>
        <v>High</v>
      </c>
      <c r="S470" t="str">
        <f t="shared" si="46"/>
        <v>Yes</v>
      </c>
      <c r="T470" t="str" cm="1">
        <f t="array" ref="T470">_xlfn.IFS(A469&lt;30,"18-29",A469&lt;40,"30-39",A469&lt;50,"40-49",A469&lt;60,"50-59",A469&gt;=60,"60+")</f>
        <v>40-49</v>
      </c>
      <c r="U470" t="str">
        <f t="shared" si="47"/>
        <v>High (Stage 2)</v>
      </c>
    </row>
    <row r="471" spans="1:21">
      <c r="A471">
        <v>67</v>
      </c>
      <c r="B471">
        <v>1</v>
      </c>
      <c r="C471">
        <v>0</v>
      </c>
      <c r="D471">
        <v>160</v>
      </c>
      <c r="E471">
        <v>286</v>
      </c>
      <c r="F471">
        <v>0</v>
      </c>
      <c r="G471">
        <v>0</v>
      </c>
      <c r="H471">
        <v>108</v>
      </c>
      <c r="I471">
        <v>1</v>
      </c>
      <c r="J471">
        <v>1.5</v>
      </c>
      <c r="K471">
        <v>1</v>
      </c>
      <c r="L471">
        <v>3</v>
      </c>
      <c r="M471">
        <v>2</v>
      </c>
      <c r="N471">
        <v>0</v>
      </c>
      <c r="O471" t="str">
        <f t="shared" si="42"/>
        <v>Male</v>
      </c>
      <c r="P471" t="str">
        <f t="shared" si="43"/>
        <v>No Disease</v>
      </c>
      <c r="Q471" t="str">
        <f t="shared" si="44"/>
        <v>Typical Angina</v>
      </c>
      <c r="R471" t="str">
        <f t="shared" si="45"/>
        <v>Normal</v>
      </c>
      <c r="S471" t="str">
        <f t="shared" si="46"/>
        <v>Yes</v>
      </c>
      <c r="T471" t="str" cm="1">
        <f t="array" ref="T471">_xlfn.IFS(A470&lt;30,"18-29",A470&lt;40,"30-39",A470&lt;50,"40-49",A470&lt;60,"50-59",A470&gt;=60,"60+")</f>
        <v>60+</v>
      </c>
      <c r="U471" t="str">
        <f t="shared" si="47"/>
        <v>High (Stage 2)</v>
      </c>
    </row>
    <row r="472" spans="1:21">
      <c r="A472">
        <v>60</v>
      </c>
      <c r="B472">
        <v>0</v>
      </c>
      <c r="C472">
        <v>3</v>
      </c>
      <c r="D472">
        <v>150</v>
      </c>
      <c r="E472">
        <v>240</v>
      </c>
      <c r="F472">
        <v>0</v>
      </c>
      <c r="G472">
        <v>1</v>
      </c>
      <c r="H472">
        <v>171</v>
      </c>
      <c r="I472">
        <v>0</v>
      </c>
      <c r="J472">
        <v>0.9</v>
      </c>
      <c r="K472">
        <v>2</v>
      </c>
      <c r="L472">
        <v>0</v>
      </c>
      <c r="M472">
        <v>2</v>
      </c>
      <c r="N472">
        <v>1</v>
      </c>
      <c r="O472" t="str">
        <f t="shared" si="42"/>
        <v>Female</v>
      </c>
      <c r="P472" t="str">
        <f t="shared" si="43"/>
        <v>Heart Disease</v>
      </c>
      <c r="Q472" t="str">
        <f t="shared" si="44"/>
        <v>Asymptomatic</v>
      </c>
      <c r="R472" t="str">
        <f t="shared" si="45"/>
        <v>Normal</v>
      </c>
      <c r="S472" t="str">
        <f t="shared" si="46"/>
        <v>No</v>
      </c>
      <c r="T472" t="str" cm="1">
        <f t="array" ref="T472">_xlfn.IFS(A471&lt;30,"18-29",A471&lt;40,"30-39",A471&lt;50,"40-49",A471&lt;60,"50-59",A471&gt;=60,"60+")</f>
        <v>60+</v>
      </c>
      <c r="U472" t="str">
        <f t="shared" si="47"/>
        <v>High (Stage 2)</v>
      </c>
    </row>
    <row r="473" spans="1:21">
      <c r="A473">
        <v>64</v>
      </c>
      <c r="B473">
        <v>0</v>
      </c>
      <c r="C473">
        <v>2</v>
      </c>
      <c r="D473">
        <v>140</v>
      </c>
      <c r="E473">
        <v>313</v>
      </c>
      <c r="F473">
        <v>0</v>
      </c>
      <c r="G473">
        <v>1</v>
      </c>
      <c r="H473">
        <v>133</v>
      </c>
      <c r="I473">
        <v>0</v>
      </c>
      <c r="J473">
        <v>0.2</v>
      </c>
      <c r="K473">
        <v>2</v>
      </c>
      <c r="L473">
        <v>0</v>
      </c>
      <c r="M473">
        <v>3</v>
      </c>
      <c r="N473">
        <v>1</v>
      </c>
      <c r="O473" t="str">
        <f t="shared" si="42"/>
        <v>Female</v>
      </c>
      <c r="P473" t="str">
        <f t="shared" si="43"/>
        <v>Heart Disease</v>
      </c>
      <c r="Q473" t="str">
        <f t="shared" si="44"/>
        <v>Non-Anginal Pain</v>
      </c>
      <c r="R473" t="str">
        <f t="shared" si="45"/>
        <v>Normal</v>
      </c>
      <c r="S473" t="str">
        <f t="shared" si="46"/>
        <v>No</v>
      </c>
      <c r="T473" t="str" cm="1">
        <f t="array" ref="T473">_xlfn.IFS(A472&lt;30,"18-29",A472&lt;40,"30-39",A472&lt;50,"40-49",A472&lt;60,"50-59",A472&gt;=60,"60+")</f>
        <v>60+</v>
      </c>
      <c r="U473" t="str">
        <f t="shared" si="47"/>
        <v>High (Stage 2)</v>
      </c>
    </row>
    <row r="474" spans="1:21">
      <c r="A474">
        <v>58</v>
      </c>
      <c r="B474">
        <v>0</v>
      </c>
      <c r="C474">
        <v>0</v>
      </c>
      <c r="D474">
        <v>130</v>
      </c>
      <c r="E474">
        <v>197</v>
      </c>
      <c r="F474">
        <v>0</v>
      </c>
      <c r="G474">
        <v>1</v>
      </c>
      <c r="H474">
        <v>131</v>
      </c>
      <c r="I474">
        <v>0</v>
      </c>
      <c r="J474">
        <v>0.6</v>
      </c>
      <c r="K474">
        <v>1</v>
      </c>
      <c r="L474">
        <v>0</v>
      </c>
      <c r="M474">
        <v>2</v>
      </c>
      <c r="N474">
        <v>1</v>
      </c>
      <c r="O474" t="str">
        <f t="shared" si="42"/>
        <v>Female</v>
      </c>
      <c r="P474" t="str">
        <f t="shared" si="43"/>
        <v>Heart Disease</v>
      </c>
      <c r="Q474" t="str">
        <f t="shared" si="44"/>
        <v>Typical Angina</v>
      </c>
      <c r="R474" t="str">
        <f t="shared" si="45"/>
        <v>Normal</v>
      </c>
      <c r="S474" t="str">
        <f t="shared" si="46"/>
        <v>No</v>
      </c>
      <c r="T474" t="str" cm="1">
        <f t="array" ref="T474">_xlfn.IFS(A473&lt;30,"18-29",A473&lt;40,"30-39",A473&lt;50,"40-49",A473&lt;60,"50-59",A473&gt;=60,"60+")</f>
        <v>60+</v>
      </c>
      <c r="U474" t="str">
        <f t="shared" si="47"/>
        <v>High (Stage 1)</v>
      </c>
    </row>
    <row r="475" spans="1:21">
      <c r="A475">
        <v>41</v>
      </c>
      <c r="B475">
        <v>1</v>
      </c>
      <c r="C475">
        <v>2</v>
      </c>
      <c r="D475">
        <v>130</v>
      </c>
      <c r="E475">
        <v>214</v>
      </c>
      <c r="F475">
        <v>0</v>
      </c>
      <c r="G475">
        <v>0</v>
      </c>
      <c r="H475">
        <v>168</v>
      </c>
      <c r="I475">
        <v>0</v>
      </c>
      <c r="J475">
        <v>2</v>
      </c>
      <c r="K475">
        <v>1</v>
      </c>
      <c r="L475">
        <v>0</v>
      </c>
      <c r="M475">
        <v>2</v>
      </c>
      <c r="N475">
        <v>1</v>
      </c>
      <c r="O475" t="str">
        <f t="shared" si="42"/>
        <v>Male</v>
      </c>
      <c r="P475" t="str">
        <f t="shared" si="43"/>
        <v>Heart Disease</v>
      </c>
      <c r="Q475" t="str">
        <f t="shared" si="44"/>
        <v>Non-Anginal Pain</v>
      </c>
      <c r="R475" t="str">
        <f t="shared" si="45"/>
        <v>Normal</v>
      </c>
      <c r="S475" t="str">
        <f t="shared" si="46"/>
        <v>No</v>
      </c>
      <c r="T475" t="str" cm="1">
        <f t="array" ref="T475">_xlfn.IFS(A474&lt;30,"18-29",A474&lt;40,"30-39",A474&lt;50,"40-49",A474&lt;60,"50-59",A474&gt;=60,"60+")</f>
        <v>50-59</v>
      </c>
      <c r="U475" t="str">
        <f t="shared" si="47"/>
        <v>High (Stage 1)</v>
      </c>
    </row>
    <row r="476" spans="1:21">
      <c r="A476">
        <v>48</v>
      </c>
      <c r="B476">
        <v>1</v>
      </c>
      <c r="C476">
        <v>1</v>
      </c>
      <c r="D476">
        <v>110</v>
      </c>
      <c r="E476">
        <v>229</v>
      </c>
      <c r="F476">
        <v>0</v>
      </c>
      <c r="G476">
        <v>1</v>
      </c>
      <c r="H476">
        <v>168</v>
      </c>
      <c r="I476">
        <v>0</v>
      </c>
      <c r="J476">
        <v>1</v>
      </c>
      <c r="K476">
        <v>0</v>
      </c>
      <c r="L476">
        <v>0</v>
      </c>
      <c r="M476">
        <v>3</v>
      </c>
      <c r="N476">
        <v>0</v>
      </c>
      <c r="O476" t="str">
        <f t="shared" si="42"/>
        <v>Male</v>
      </c>
      <c r="P476" t="str">
        <f t="shared" si="43"/>
        <v>No Disease</v>
      </c>
      <c r="Q476" t="str">
        <f t="shared" si="44"/>
        <v>Atypical Angina</v>
      </c>
      <c r="R476" t="str">
        <f t="shared" si="45"/>
        <v>Normal</v>
      </c>
      <c r="S476" t="str">
        <f t="shared" si="46"/>
        <v>No</v>
      </c>
      <c r="T476" t="str" cm="1">
        <f t="array" ref="T476">_xlfn.IFS(A475&lt;30,"18-29",A475&lt;40,"30-39",A475&lt;50,"40-49",A475&lt;60,"50-59",A475&gt;=60,"60+")</f>
        <v>40-49</v>
      </c>
      <c r="U476" t="str">
        <f t="shared" si="47"/>
        <v>Normal</v>
      </c>
    </row>
    <row r="477" spans="1:21">
      <c r="A477">
        <v>57</v>
      </c>
      <c r="B477">
        <v>1</v>
      </c>
      <c r="C477">
        <v>2</v>
      </c>
      <c r="D477">
        <v>150</v>
      </c>
      <c r="E477">
        <v>126</v>
      </c>
      <c r="F477">
        <v>1</v>
      </c>
      <c r="G477">
        <v>1</v>
      </c>
      <c r="H477">
        <v>173</v>
      </c>
      <c r="I477">
        <v>0</v>
      </c>
      <c r="J477">
        <v>0.2</v>
      </c>
      <c r="K477">
        <v>2</v>
      </c>
      <c r="L477">
        <v>1</v>
      </c>
      <c r="M477">
        <v>3</v>
      </c>
      <c r="N477">
        <v>1</v>
      </c>
      <c r="O477" t="str">
        <f t="shared" si="42"/>
        <v>Male</v>
      </c>
      <c r="P477" t="str">
        <f t="shared" si="43"/>
        <v>Heart Disease</v>
      </c>
      <c r="Q477" t="str">
        <f t="shared" si="44"/>
        <v>Non-Anginal Pain</v>
      </c>
      <c r="R477" t="str">
        <f t="shared" si="45"/>
        <v>High</v>
      </c>
      <c r="S477" t="str">
        <f t="shared" si="46"/>
        <v>No</v>
      </c>
      <c r="T477" t="str" cm="1">
        <f t="array" ref="T477">_xlfn.IFS(A476&lt;30,"18-29",A476&lt;40,"30-39",A476&lt;50,"40-49",A476&lt;60,"50-59",A476&gt;=60,"60+")</f>
        <v>40-49</v>
      </c>
      <c r="U477" t="str">
        <f t="shared" si="47"/>
        <v>High (Stage 2)</v>
      </c>
    </row>
    <row r="478" spans="1:21">
      <c r="A478">
        <v>57</v>
      </c>
      <c r="B478">
        <v>1</v>
      </c>
      <c r="C478">
        <v>0</v>
      </c>
      <c r="D478">
        <v>165</v>
      </c>
      <c r="E478">
        <v>289</v>
      </c>
      <c r="F478">
        <v>1</v>
      </c>
      <c r="G478">
        <v>0</v>
      </c>
      <c r="H478">
        <v>124</v>
      </c>
      <c r="I478">
        <v>0</v>
      </c>
      <c r="J478">
        <v>1</v>
      </c>
      <c r="K478">
        <v>1</v>
      </c>
      <c r="L478">
        <v>3</v>
      </c>
      <c r="M478">
        <v>3</v>
      </c>
      <c r="N478">
        <v>0</v>
      </c>
      <c r="O478" t="str">
        <f t="shared" si="42"/>
        <v>Male</v>
      </c>
      <c r="P478" t="str">
        <f t="shared" si="43"/>
        <v>No Disease</v>
      </c>
      <c r="Q478" t="str">
        <f t="shared" si="44"/>
        <v>Typical Angina</v>
      </c>
      <c r="R478" t="str">
        <f t="shared" si="45"/>
        <v>High</v>
      </c>
      <c r="S478" t="str">
        <f t="shared" si="46"/>
        <v>No</v>
      </c>
      <c r="T478" t="str" cm="1">
        <f t="array" ref="T478">_xlfn.IFS(A477&lt;30,"18-29",A477&lt;40,"30-39",A477&lt;50,"40-49",A477&lt;60,"50-59",A477&gt;=60,"60+")</f>
        <v>50-59</v>
      </c>
      <c r="U478" t="str">
        <f t="shared" si="47"/>
        <v>High (Stage 2)</v>
      </c>
    </row>
    <row r="479" spans="1:21">
      <c r="A479">
        <v>57</v>
      </c>
      <c r="B479">
        <v>1</v>
      </c>
      <c r="C479">
        <v>2</v>
      </c>
      <c r="D479">
        <v>128</v>
      </c>
      <c r="E479">
        <v>229</v>
      </c>
      <c r="F479">
        <v>0</v>
      </c>
      <c r="G479">
        <v>0</v>
      </c>
      <c r="H479">
        <v>150</v>
      </c>
      <c r="I479">
        <v>0</v>
      </c>
      <c r="J479">
        <v>0.4</v>
      </c>
      <c r="K479">
        <v>1</v>
      </c>
      <c r="L479">
        <v>1</v>
      </c>
      <c r="M479">
        <v>3</v>
      </c>
      <c r="N479">
        <v>0</v>
      </c>
      <c r="O479" t="str">
        <f t="shared" si="42"/>
        <v>Male</v>
      </c>
      <c r="P479" t="str">
        <f t="shared" si="43"/>
        <v>No Disease</v>
      </c>
      <c r="Q479" t="str">
        <f t="shared" si="44"/>
        <v>Non-Anginal Pain</v>
      </c>
      <c r="R479" t="str">
        <f t="shared" si="45"/>
        <v>Normal</v>
      </c>
      <c r="S479" t="str">
        <f t="shared" si="46"/>
        <v>No</v>
      </c>
      <c r="T479" t="str" cm="1">
        <f t="array" ref="T479">_xlfn.IFS(A478&lt;30,"18-29",A478&lt;40,"30-39",A478&lt;50,"40-49",A478&lt;60,"50-59",A478&gt;=60,"60+")</f>
        <v>50-59</v>
      </c>
      <c r="U479" t="str">
        <f t="shared" si="47"/>
        <v>Elevated</v>
      </c>
    </row>
    <row r="480" spans="1:21">
      <c r="A480">
        <v>39</v>
      </c>
      <c r="B480">
        <v>1</v>
      </c>
      <c r="C480">
        <v>2</v>
      </c>
      <c r="D480">
        <v>140</v>
      </c>
      <c r="E480">
        <v>321</v>
      </c>
      <c r="F480">
        <v>0</v>
      </c>
      <c r="G480">
        <v>0</v>
      </c>
      <c r="H480">
        <v>182</v>
      </c>
      <c r="I480">
        <v>0</v>
      </c>
      <c r="J480">
        <v>0</v>
      </c>
      <c r="K480">
        <v>2</v>
      </c>
      <c r="L480">
        <v>0</v>
      </c>
      <c r="M480">
        <v>2</v>
      </c>
      <c r="N480">
        <v>1</v>
      </c>
      <c r="O480" t="str">
        <f t="shared" si="42"/>
        <v>Male</v>
      </c>
      <c r="P480" t="str">
        <f t="shared" si="43"/>
        <v>Heart Disease</v>
      </c>
      <c r="Q480" t="str">
        <f t="shared" si="44"/>
        <v>Non-Anginal Pain</v>
      </c>
      <c r="R480" t="str">
        <f t="shared" si="45"/>
        <v>Normal</v>
      </c>
      <c r="S480" t="str">
        <f t="shared" si="46"/>
        <v>No</v>
      </c>
      <c r="T480" t="str" cm="1">
        <f t="array" ref="T480">_xlfn.IFS(A479&lt;30,"18-29",A479&lt;40,"30-39",A479&lt;50,"40-49",A479&lt;60,"50-59",A479&gt;=60,"60+")</f>
        <v>50-59</v>
      </c>
      <c r="U480" t="str">
        <f t="shared" si="47"/>
        <v>High (Stage 2)</v>
      </c>
    </row>
    <row r="481" spans="1:21">
      <c r="A481">
        <v>58</v>
      </c>
      <c r="B481">
        <v>1</v>
      </c>
      <c r="C481">
        <v>0</v>
      </c>
      <c r="D481">
        <v>128</v>
      </c>
      <c r="E481">
        <v>216</v>
      </c>
      <c r="F481">
        <v>0</v>
      </c>
      <c r="G481">
        <v>0</v>
      </c>
      <c r="H481">
        <v>131</v>
      </c>
      <c r="I481">
        <v>1</v>
      </c>
      <c r="J481">
        <v>2.2000000000000002</v>
      </c>
      <c r="K481">
        <v>1</v>
      </c>
      <c r="L481">
        <v>3</v>
      </c>
      <c r="M481">
        <v>3</v>
      </c>
      <c r="N481">
        <v>0</v>
      </c>
      <c r="O481" t="str">
        <f t="shared" si="42"/>
        <v>Male</v>
      </c>
      <c r="P481" t="str">
        <f t="shared" si="43"/>
        <v>No Disease</v>
      </c>
      <c r="Q481" t="str">
        <f t="shared" si="44"/>
        <v>Typical Angina</v>
      </c>
      <c r="R481" t="str">
        <f t="shared" si="45"/>
        <v>Normal</v>
      </c>
      <c r="S481" t="str">
        <f t="shared" si="46"/>
        <v>Yes</v>
      </c>
      <c r="T481" t="str" cm="1">
        <f t="array" ref="T481">_xlfn.IFS(A480&lt;30,"18-29",A480&lt;40,"30-39",A480&lt;50,"40-49",A480&lt;60,"50-59",A480&gt;=60,"60+")</f>
        <v>30-39</v>
      </c>
      <c r="U481" t="str">
        <f t="shared" si="47"/>
        <v>Elevated</v>
      </c>
    </row>
    <row r="482" spans="1:21">
      <c r="A482">
        <v>51</v>
      </c>
      <c r="B482">
        <v>0</v>
      </c>
      <c r="C482">
        <v>0</v>
      </c>
      <c r="D482">
        <v>130</v>
      </c>
      <c r="E482">
        <v>305</v>
      </c>
      <c r="F482">
        <v>0</v>
      </c>
      <c r="G482">
        <v>1</v>
      </c>
      <c r="H482">
        <v>142</v>
      </c>
      <c r="I482">
        <v>1</v>
      </c>
      <c r="J482">
        <v>1.2</v>
      </c>
      <c r="K482">
        <v>1</v>
      </c>
      <c r="L482">
        <v>0</v>
      </c>
      <c r="M482">
        <v>3</v>
      </c>
      <c r="N482">
        <v>0</v>
      </c>
      <c r="O482" t="str">
        <f t="shared" si="42"/>
        <v>Female</v>
      </c>
      <c r="P482" t="str">
        <f t="shared" si="43"/>
        <v>No Disease</v>
      </c>
      <c r="Q482" t="str">
        <f t="shared" si="44"/>
        <v>Typical Angina</v>
      </c>
      <c r="R482" t="str">
        <f t="shared" si="45"/>
        <v>Normal</v>
      </c>
      <c r="S482" t="str">
        <f t="shared" si="46"/>
        <v>Yes</v>
      </c>
      <c r="T482" t="str" cm="1">
        <f t="array" ref="T482">_xlfn.IFS(A481&lt;30,"18-29",A481&lt;40,"30-39",A481&lt;50,"40-49",A481&lt;60,"50-59",A481&gt;=60,"60+")</f>
        <v>50-59</v>
      </c>
      <c r="U482" t="str">
        <f t="shared" si="47"/>
        <v>High (Stage 1)</v>
      </c>
    </row>
    <row r="483" spans="1:21">
      <c r="A483">
        <v>63</v>
      </c>
      <c r="B483">
        <v>0</v>
      </c>
      <c r="C483">
        <v>0</v>
      </c>
      <c r="D483">
        <v>150</v>
      </c>
      <c r="E483">
        <v>407</v>
      </c>
      <c r="F483">
        <v>0</v>
      </c>
      <c r="G483">
        <v>0</v>
      </c>
      <c r="H483">
        <v>154</v>
      </c>
      <c r="I483">
        <v>0</v>
      </c>
      <c r="J483">
        <v>4</v>
      </c>
      <c r="K483">
        <v>1</v>
      </c>
      <c r="L483">
        <v>3</v>
      </c>
      <c r="M483">
        <v>3</v>
      </c>
      <c r="N483">
        <v>0</v>
      </c>
      <c r="O483" t="str">
        <f t="shared" si="42"/>
        <v>Female</v>
      </c>
      <c r="P483" t="str">
        <f t="shared" si="43"/>
        <v>No Disease</v>
      </c>
      <c r="Q483" t="str">
        <f t="shared" si="44"/>
        <v>Typical Angina</v>
      </c>
      <c r="R483" t="str">
        <f t="shared" si="45"/>
        <v>Normal</v>
      </c>
      <c r="S483" t="str">
        <f t="shared" si="46"/>
        <v>No</v>
      </c>
      <c r="T483" t="str" cm="1">
        <f t="array" ref="T483">_xlfn.IFS(A482&lt;30,"18-29",A482&lt;40,"30-39",A482&lt;50,"40-49",A482&lt;60,"50-59",A482&gt;=60,"60+")</f>
        <v>50-59</v>
      </c>
      <c r="U483" t="str">
        <f t="shared" si="47"/>
        <v>High (Stage 2)</v>
      </c>
    </row>
    <row r="484" spans="1:21">
      <c r="A484">
        <v>51</v>
      </c>
      <c r="B484">
        <v>1</v>
      </c>
      <c r="C484">
        <v>0</v>
      </c>
      <c r="D484">
        <v>140</v>
      </c>
      <c r="E484">
        <v>298</v>
      </c>
      <c r="F484">
        <v>0</v>
      </c>
      <c r="G484">
        <v>1</v>
      </c>
      <c r="H484">
        <v>122</v>
      </c>
      <c r="I484">
        <v>1</v>
      </c>
      <c r="J484">
        <v>4.2</v>
      </c>
      <c r="K484">
        <v>1</v>
      </c>
      <c r="L484">
        <v>3</v>
      </c>
      <c r="M484">
        <v>3</v>
      </c>
      <c r="N484">
        <v>0</v>
      </c>
      <c r="O484" t="str">
        <f t="shared" si="42"/>
        <v>Male</v>
      </c>
      <c r="P484" t="str">
        <f t="shared" si="43"/>
        <v>No Disease</v>
      </c>
      <c r="Q484" t="str">
        <f t="shared" si="44"/>
        <v>Typical Angina</v>
      </c>
      <c r="R484" t="str">
        <f t="shared" si="45"/>
        <v>Normal</v>
      </c>
      <c r="S484" t="str">
        <f t="shared" si="46"/>
        <v>Yes</v>
      </c>
      <c r="T484" t="str" cm="1">
        <f t="array" ref="T484">_xlfn.IFS(A483&lt;30,"18-29",A483&lt;40,"30-39",A483&lt;50,"40-49",A483&lt;60,"50-59",A483&gt;=60,"60+")</f>
        <v>60+</v>
      </c>
      <c r="U484" t="str">
        <f t="shared" si="47"/>
        <v>High (Stage 2)</v>
      </c>
    </row>
    <row r="485" spans="1:21">
      <c r="A485">
        <v>35</v>
      </c>
      <c r="B485">
        <v>1</v>
      </c>
      <c r="C485">
        <v>1</v>
      </c>
      <c r="D485">
        <v>122</v>
      </c>
      <c r="E485">
        <v>192</v>
      </c>
      <c r="F485">
        <v>0</v>
      </c>
      <c r="G485">
        <v>1</v>
      </c>
      <c r="H485">
        <v>174</v>
      </c>
      <c r="I485">
        <v>0</v>
      </c>
      <c r="J485">
        <v>0</v>
      </c>
      <c r="K485">
        <v>2</v>
      </c>
      <c r="L485">
        <v>0</v>
      </c>
      <c r="M485">
        <v>2</v>
      </c>
      <c r="N485">
        <v>1</v>
      </c>
      <c r="O485" t="str">
        <f t="shared" si="42"/>
        <v>Male</v>
      </c>
      <c r="P485" t="str">
        <f t="shared" si="43"/>
        <v>Heart Disease</v>
      </c>
      <c r="Q485" t="str">
        <f t="shared" si="44"/>
        <v>Atypical Angina</v>
      </c>
      <c r="R485" t="str">
        <f t="shared" si="45"/>
        <v>Normal</v>
      </c>
      <c r="S485" t="str">
        <f t="shared" si="46"/>
        <v>No</v>
      </c>
      <c r="T485" t="str" cm="1">
        <f t="array" ref="T485">_xlfn.IFS(A484&lt;30,"18-29",A484&lt;40,"30-39",A484&lt;50,"40-49",A484&lt;60,"50-59",A484&gt;=60,"60+")</f>
        <v>50-59</v>
      </c>
      <c r="U485" t="str">
        <f t="shared" si="47"/>
        <v>Elevated</v>
      </c>
    </row>
    <row r="486" spans="1:21">
      <c r="A486">
        <v>65</v>
      </c>
      <c r="B486">
        <v>1</v>
      </c>
      <c r="C486">
        <v>0</v>
      </c>
      <c r="D486">
        <v>110</v>
      </c>
      <c r="E486">
        <v>248</v>
      </c>
      <c r="F486">
        <v>0</v>
      </c>
      <c r="G486">
        <v>0</v>
      </c>
      <c r="H486">
        <v>158</v>
      </c>
      <c r="I486">
        <v>0</v>
      </c>
      <c r="J486">
        <v>0.6</v>
      </c>
      <c r="K486">
        <v>2</v>
      </c>
      <c r="L486">
        <v>2</v>
      </c>
      <c r="M486">
        <v>1</v>
      </c>
      <c r="N486">
        <v>0</v>
      </c>
      <c r="O486" t="str">
        <f t="shared" si="42"/>
        <v>Male</v>
      </c>
      <c r="P486" t="str">
        <f t="shared" si="43"/>
        <v>No Disease</v>
      </c>
      <c r="Q486" t="str">
        <f t="shared" si="44"/>
        <v>Typical Angina</v>
      </c>
      <c r="R486" t="str">
        <f t="shared" si="45"/>
        <v>Normal</v>
      </c>
      <c r="S486" t="str">
        <f t="shared" si="46"/>
        <v>No</v>
      </c>
      <c r="T486" t="str" cm="1">
        <f t="array" ref="T486">_xlfn.IFS(A485&lt;30,"18-29",A485&lt;40,"30-39",A485&lt;50,"40-49",A485&lt;60,"50-59",A485&gt;=60,"60+")</f>
        <v>30-39</v>
      </c>
      <c r="U486" t="str">
        <f t="shared" si="47"/>
        <v>Normal</v>
      </c>
    </row>
    <row r="487" spans="1:21">
      <c r="A487">
        <v>62</v>
      </c>
      <c r="B487">
        <v>1</v>
      </c>
      <c r="C487">
        <v>1</v>
      </c>
      <c r="D487">
        <v>120</v>
      </c>
      <c r="E487">
        <v>281</v>
      </c>
      <c r="F487">
        <v>0</v>
      </c>
      <c r="G487">
        <v>0</v>
      </c>
      <c r="H487">
        <v>103</v>
      </c>
      <c r="I487">
        <v>0</v>
      </c>
      <c r="J487">
        <v>1.4</v>
      </c>
      <c r="K487">
        <v>1</v>
      </c>
      <c r="L487">
        <v>1</v>
      </c>
      <c r="M487">
        <v>3</v>
      </c>
      <c r="N487">
        <v>0</v>
      </c>
      <c r="O487" t="str">
        <f t="shared" si="42"/>
        <v>Male</v>
      </c>
      <c r="P487" t="str">
        <f t="shared" si="43"/>
        <v>No Disease</v>
      </c>
      <c r="Q487" t="str">
        <f t="shared" si="44"/>
        <v>Atypical Angina</v>
      </c>
      <c r="R487" t="str">
        <f t="shared" si="45"/>
        <v>Normal</v>
      </c>
      <c r="S487" t="str">
        <f t="shared" si="46"/>
        <v>No</v>
      </c>
      <c r="T487" t="str" cm="1">
        <f t="array" ref="T487">_xlfn.IFS(A486&lt;30,"18-29",A486&lt;40,"30-39",A486&lt;50,"40-49",A486&lt;60,"50-59",A486&gt;=60,"60+")</f>
        <v>60+</v>
      </c>
      <c r="U487" t="str">
        <f t="shared" si="47"/>
        <v>Elevated</v>
      </c>
    </row>
    <row r="488" spans="1:21">
      <c r="A488">
        <v>41</v>
      </c>
      <c r="B488">
        <v>1</v>
      </c>
      <c r="C488">
        <v>0</v>
      </c>
      <c r="D488">
        <v>110</v>
      </c>
      <c r="E488">
        <v>172</v>
      </c>
      <c r="F488">
        <v>0</v>
      </c>
      <c r="G488">
        <v>0</v>
      </c>
      <c r="H488">
        <v>158</v>
      </c>
      <c r="I488">
        <v>0</v>
      </c>
      <c r="J488">
        <v>0</v>
      </c>
      <c r="K488">
        <v>2</v>
      </c>
      <c r="L488">
        <v>0</v>
      </c>
      <c r="M488">
        <v>3</v>
      </c>
      <c r="N488">
        <v>0</v>
      </c>
      <c r="O488" t="str">
        <f t="shared" si="42"/>
        <v>Male</v>
      </c>
      <c r="P488" t="str">
        <f t="shared" si="43"/>
        <v>No Disease</v>
      </c>
      <c r="Q488" t="str">
        <f t="shared" si="44"/>
        <v>Typical Angina</v>
      </c>
      <c r="R488" t="str">
        <f t="shared" si="45"/>
        <v>Normal</v>
      </c>
      <c r="S488" t="str">
        <f t="shared" si="46"/>
        <v>No</v>
      </c>
      <c r="T488" t="str" cm="1">
        <f t="array" ref="T488">_xlfn.IFS(A487&lt;30,"18-29",A487&lt;40,"30-39",A487&lt;50,"40-49",A487&lt;60,"50-59",A487&gt;=60,"60+")</f>
        <v>60+</v>
      </c>
      <c r="U488" t="str">
        <f t="shared" si="47"/>
        <v>Normal</v>
      </c>
    </row>
    <row r="489" spans="1:21">
      <c r="A489">
        <v>65</v>
      </c>
      <c r="B489">
        <v>1</v>
      </c>
      <c r="C489">
        <v>0</v>
      </c>
      <c r="D489">
        <v>135</v>
      </c>
      <c r="E489">
        <v>254</v>
      </c>
      <c r="F489">
        <v>0</v>
      </c>
      <c r="G489">
        <v>0</v>
      </c>
      <c r="H489">
        <v>127</v>
      </c>
      <c r="I489">
        <v>0</v>
      </c>
      <c r="J489">
        <v>2.8</v>
      </c>
      <c r="K489">
        <v>1</v>
      </c>
      <c r="L489">
        <v>1</v>
      </c>
      <c r="M489">
        <v>3</v>
      </c>
      <c r="N489">
        <v>0</v>
      </c>
      <c r="O489" t="str">
        <f t="shared" si="42"/>
        <v>Male</v>
      </c>
      <c r="P489" t="str">
        <f t="shared" si="43"/>
        <v>No Disease</v>
      </c>
      <c r="Q489" t="str">
        <f t="shared" si="44"/>
        <v>Typical Angina</v>
      </c>
      <c r="R489" t="str">
        <f t="shared" si="45"/>
        <v>Normal</v>
      </c>
      <c r="S489" t="str">
        <f t="shared" si="46"/>
        <v>No</v>
      </c>
      <c r="T489" t="str" cm="1">
        <f t="array" ref="T489">_xlfn.IFS(A488&lt;30,"18-29",A488&lt;40,"30-39",A488&lt;50,"40-49",A488&lt;60,"50-59",A488&gt;=60,"60+")</f>
        <v>40-49</v>
      </c>
      <c r="U489" t="str">
        <f t="shared" si="47"/>
        <v>High (Stage 1)</v>
      </c>
    </row>
    <row r="490" spans="1:21">
      <c r="A490">
        <v>54</v>
      </c>
      <c r="B490">
        <v>0</v>
      </c>
      <c r="C490">
        <v>1</v>
      </c>
      <c r="D490">
        <v>132</v>
      </c>
      <c r="E490">
        <v>288</v>
      </c>
      <c r="F490">
        <v>1</v>
      </c>
      <c r="G490">
        <v>0</v>
      </c>
      <c r="H490">
        <v>159</v>
      </c>
      <c r="I490">
        <v>1</v>
      </c>
      <c r="J490">
        <v>0</v>
      </c>
      <c r="K490">
        <v>2</v>
      </c>
      <c r="L490">
        <v>1</v>
      </c>
      <c r="M490">
        <v>2</v>
      </c>
      <c r="N490">
        <v>1</v>
      </c>
      <c r="O490" t="str">
        <f t="shared" si="42"/>
        <v>Female</v>
      </c>
      <c r="P490" t="str">
        <f t="shared" si="43"/>
        <v>Heart Disease</v>
      </c>
      <c r="Q490" t="str">
        <f t="shared" si="44"/>
        <v>Atypical Angina</v>
      </c>
      <c r="R490" t="str">
        <f t="shared" si="45"/>
        <v>High</v>
      </c>
      <c r="S490" t="str">
        <f t="shared" si="46"/>
        <v>Yes</v>
      </c>
      <c r="T490" t="str" cm="1">
        <f t="array" ref="T490">_xlfn.IFS(A489&lt;30,"18-29",A489&lt;40,"30-39",A489&lt;50,"40-49",A489&lt;60,"50-59",A489&gt;=60,"60+")</f>
        <v>60+</v>
      </c>
      <c r="U490" t="str">
        <f t="shared" si="47"/>
        <v>High (Stage 1)</v>
      </c>
    </row>
    <row r="491" spans="1:21">
      <c r="A491">
        <v>61</v>
      </c>
      <c r="B491">
        <v>1</v>
      </c>
      <c r="C491">
        <v>2</v>
      </c>
      <c r="D491">
        <v>150</v>
      </c>
      <c r="E491">
        <v>243</v>
      </c>
      <c r="F491">
        <v>1</v>
      </c>
      <c r="G491">
        <v>1</v>
      </c>
      <c r="H491">
        <v>137</v>
      </c>
      <c r="I491">
        <v>1</v>
      </c>
      <c r="J491">
        <v>1</v>
      </c>
      <c r="K491">
        <v>1</v>
      </c>
      <c r="L491">
        <v>0</v>
      </c>
      <c r="M491">
        <v>2</v>
      </c>
      <c r="N491">
        <v>1</v>
      </c>
      <c r="O491" t="str">
        <f t="shared" si="42"/>
        <v>Male</v>
      </c>
      <c r="P491" t="str">
        <f t="shared" si="43"/>
        <v>Heart Disease</v>
      </c>
      <c r="Q491" t="str">
        <f t="shared" si="44"/>
        <v>Non-Anginal Pain</v>
      </c>
      <c r="R491" t="str">
        <f t="shared" si="45"/>
        <v>High</v>
      </c>
      <c r="S491" t="str">
        <f t="shared" si="46"/>
        <v>Yes</v>
      </c>
      <c r="T491" t="str" cm="1">
        <f t="array" ref="T491">_xlfn.IFS(A490&lt;30,"18-29",A490&lt;40,"30-39",A490&lt;50,"40-49",A490&lt;60,"50-59",A490&gt;=60,"60+")</f>
        <v>50-59</v>
      </c>
      <c r="U491" t="str">
        <f t="shared" si="47"/>
        <v>High (Stage 2)</v>
      </c>
    </row>
    <row r="492" spans="1:21">
      <c r="A492">
        <v>57</v>
      </c>
      <c r="B492">
        <v>0</v>
      </c>
      <c r="C492">
        <v>0</v>
      </c>
      <c r="D492">
        <v>128</v>
      </c>
      <c r="E492">
        <v>303</v>
      </c>
      <c r="F492">
        <v>0</v>
      </c>
      <c r="G492">
        <v>0</v>
      </c>
      <c r="H492">
        <v>159</v>
      </c>
      <c r="I492">
        <v>0</v>
      </c>
      <c r="J492">
        <v>0</v>
      </c>
      <c r="K492">
        <v>2</v>
      </c>
      <c r="L492">
        <v>1</v>
      </c>
      <c r="M492">
        <v>2</v>
      </c>
      <c r="N492">
        <v>1</v>
      </c>
      <c r="O492" t="str">
        <f t="shared" si="42"/>
        <v>Female</v>
      </c>
      <c r="P492" t="str">
        <f t="shared" si="43"/>
        <v>Heart Disease</v>
      </c>
      <c r="Q492" t="str">
        <f t="shared" si="44"/>
        <v>Typical Angina</v>
      </c>
      <c r="R492" t="str">
        <f t="shared" si="45"/>
        <v>Normal</v>
      </c>
      <c r="S492" t="str">
        <f t="shared" si="46"/>
        <v>No</v>
      </c>
      <c r="T492" t="str" cm="1">
        <f t="array" ref="T492">_xlfn.IFS(A491&lt;30,"18-29",A491&lt;40,"30-39",A491&lt;50,"40-49",A491&lt;60,"50-59",A491&gt;=60,"60+")</f>
        <v>60+</v>
      </c>
      <c r="U492" t="str">
        <f t="shared" si="47"/>
        <v>Elevated</v>
      </c>
    </row>
    <row r="493" spans="1:21">
      <c r="A493">
        <v>57</v>
      </c>
      <c r="B493">
        <v>1</v>
      </c>
      <c r="C493">
        <v>2</v>
      </c>
      <c r="D493">
        <v>150</v>
      </c>
      <c r="E493">
        <v>168</v>
      </c>
      <c r="F493">
        <v>0</v>
      </c>
      <c r="G493">
        <v>1</v>
      </c>
      <c r="H493">
        <v>174</v>
      </c>
      <c r="I493">
        <v>0</v>
      </c>
      <c r="J493">
        <v>1.6</v>
      </c>
      <c r="K493">
        <v>2</v>
      </c>
      <c r="L493">
        <v>0</v>
      </c>
      <c r="M493">
        <v>2</v>
      </c>
      <c r="N493">
        <v>1</v>
      </c>
      <c r="O493" t="str">
        <f t="shared" si="42"/>
        <v>Male</v>
      </c>
      <c r="P493" t="str">
        <f t="shared" si="43"/>
        <v>Heart Disease</v>
      </c>
      <c r="Q493" t="str">
        <f t="shared" si="44"/>
        <v>Non-Anginal Pain</v>
      </c>
      <c r="R493" t="str">
        <f t="shared" si="45"/>
        <v>Normal</v>
      </c>
      <c r="S493" t="str">
        <f t="shared" si="46"/>
        <v>No</v>
      </c>
      <c r="T493" t="str" cm="1">
        <f t="array" ref="T493">_xlfn.IFS(A492&lt;30,"18-29",A492&lt;40,"30-39",A492&lt;50,"40-49",A492&lt;60,"50-59",A492&gt;=60,"60+")</f>
        <v>50-59</v>
      </c>
      <c r="U493" t="str">
        <f t="shared" si="47"/>
        <v>High (Stage 2)</v>
      </c>
    </row>
    <row r="494" spans="1:21">
      <c r="A494">
        <v>64</v>
      </c>
      <c r="B494">
        <v>1</v>
      </c>
      <c r="C494">
        <v>2</v>
      </c>
      <c r="D494">
        <v>125</v>
      </c>
      <c r="E494">
        <v>309</v>
      </c>
      <c r="F494">
        <v>0</v>
      </c>
      <c r="G494">
        <v>1</v>
      </c>
      <c r="H494">
        <v>131</v>
      </c>
      <c r="I494">
        <v>1</v>
      </c>
      <c r="J494">
        <v>1.8</v>
      </c>
      <c r="K494">
        <v>1</v>
      </c>
      <c r="L494">
        <v>0</v>
      </c>
      <c r="M494">
        <v>3</v>
      </c>
      <c r="N494">
        <v>0</v>
      </c>
      <c r="O494" t="str">
        <f t="shared" si="42"/>
        <v>Male</v>
      </c>
      <c r="P494" t="str">
        <f t="shared" si="43"/>
        <v>No Disease</v>
      </c>
      <c r="Q494" t="str">
        <f t="shared" si="44"/>
        <v>Non-Anginal Pain</v>
      </c>
      <c r="R494" t="str">
        <f t="shared" si="45"/>
        <v>Normal</v>
      </c>
      <c r="S494" t="str">
        <f t="shared" si="46"/>
        <v>Yes</v>
      </c>
      <c r="T494" t="str" cm="1">
        <f t="array" ref="T494">_xlfn.IFS(A493&lt;30,"18-29",A493&lt;40,"30-39",A493&lt;50,"40-49",A493&lt;60,"50-59",A493&gt;=60,"60+")</f>
        <v>50-59</v>
      </c>
      <c r="U494" t="str">
        <f t="shared" si="47"/>
        <v>Elevated</v>
      </c>
    </row>
    <row r="495" spans="1:21">
      <c r="A495">
        <v>55</v>
      </c>
      <c r="B495">
        <v>1</v>
      </c>
      <c r="C495">
        <v>0</v>
      </c>
      <c r="D495">
        <v>132</v>
      </c>
      <c r="E495">
        <v>353</v>
      </c>
      <c r="F495">
        <v>0</v>
      </c>
      <c r="G495">
        <v>1</v>
      </c>
      <c r="H495">
        <v>132</v>
      </c>
      <c r="I495">
        <v>1</v>
      </c>
      <c r="J495">
        <v>1.2</v>
      </c>
      <c r="K495">
        <v>1</v>
      </c>
      <c r="L495">
        <v>1</v>
      </c>
      <c r="M495">
        <v>3</v>
      </c>
      <c r="N495">
        <v>0</v>
      </c>
      <c r="O495" t="str">
        <f t="shared" si="42"/>
        <v>Male</v>
      </c>
      <c r="P495" t="str">
        <f t="shared" si="43"/>
        <v>No Disease</v>
      </c>
      <c r="Q495" t="str">
        <f t="shared" si="44"/>
        <v>Typical Angina</v>
      </c>
      <c r="R495" t="str">
        <f t="shared" si="45"/>
        <v>Normal</v>
      </c>
      <c r="S495" t="str">
        <f t="shared" si="46"/>
        <v>Yes</v>
      </c>
      <c r="T495" t="str" cm="1">
        <f t="array" ref="T495">_xlfn.IFS(A494&lt;30,"18-29",A494&lt;40,"30-39",A494&lt;50,"40-49",A494&lt;60,"50-59",A494&gt;=60,"60+")</f>
        <v>60+</v>
      </c>
      <c r="U495" t="str">
        <f t="shared" si="47"/>
        <v>High (Stage 1)</v>
      </c>
    </row>
    <row r="496" spans="1:21">
      <c r="A496">
        <v>51</v>
      </c>
      <c r="B496">
        <v>1</v>
      </c>
      <c r="C496">
        <v>2</v>
      </c>
      <c r="D496">
        <v>125</v>
      </c>
      <c r="E496">
        <v>245</v>
      </c>
      <c r="F496">
        <v>1</v>
      </c>
      <c r="G496">
        <v>0</v>
      </c>
      <c r="H496">
        <v>166</v>
      </c>
      <c r="I496">
        <v>0</v>
      </c>
      <c r="J496">
        <v>2.4</v>
      </c>
      <c r="K496">
        <v>1</v>
      </c>
      <c r="L496">
        <v>0</v>
      </c>
      <c r="M496">
        <v>2</v>
      </c>
      <c r="N496">
        <v>1</v>
      </c>
      <c r="O496" t="str">
        <f t="shared" si="42"/>
        <v>Male</v>
      </c>
      <c r="P496" t="str">
        <f t="shared" si="43"/>
        <v>Heart Disease</v>
      </c>
      <c r="Q496" t="str">
        <f t="shared" si="44"/>
        <v>Non-Anginal Pain</v>
      </c>
      <c r="R496" t="str">
        <f t="shared" si="45"/>
        <v>High</v>
      </c>
      <c r="S496" t="str">
        <f t="shared" si="46"/>
        <v>No</v>
      </c>
      <c r="T496" t="str" cm="1">
        <f t="array" ref="T496">_xlfn.IFS(A495&lt;30,"18-29",A495&lt;40,"30-39",A495&lt;50,"40-49",A495&lt;60,"50-59",A495&gt;=60,"60+")</f>
        <v>50-59</v>
      </c>
      <c r="U496" t="str">
        <f t="shared" si="47"/>
        <v>Elevated</v>
      </c>
    </row>
    <row r="497" spans="1:21">
      <c r="A497">
        <v>59</v>
      </c>
      <c r="B497">
        <v>1</v>
      </c>
      <c r="C497">
        <v>0</v>
      </c>
      <c r="D497">
        <v>135</v>
      </c>
      <c r="E497">
        <v>234</v>
      </c>
      <c r="F497">
        <v>0</v>
      </c>
      <c r="G497">
        <v>1</v>
      </c>
      <c r="H497">
        <v>161</v>
      </c>
      <c r="I497">
        <v>0</v>
      </c>
      <c r="J497">
        <v>0.5</v>
      </c>
      <c r="K497">
        <v>1</v>
      </c>
      <c r="L497">
        <v>0</v>
      </c>
      <c r="M497">
        <v>3</v>
      </c>
      <c r="N497">
        <v>1</v>
      </c>
      <c r="O497" t="str">
        <f t="shared" si="42"/>
        <v>Male</v>
      </c>
      <c r="P497" t="str">
        <f t="shared" si="43"/>
        <v>Heart Disease</v>
      </c>
      <c r="Q497" t="str">
        <f t="shared" si="44"/>
        <v>Typical Angina</v>
      </c>
      <c r="R497" t="str">
        <f t="shared" si="45"/>
        <v>Normal</v>
      </c>
      <c r="S497" t="str">
        <f t="shared" si="46"/>
        <v>No</v>
      </c>
      <c r="T497" t="str" cm="1">
        <f t="array" ref="T497">_xlfn.IFS(A496&lt;30,"18-29",A496&lt;40,"30-39",A496&lt;50,"40-49",A496&lt;60,"50-59",A496&gt;=60,"60+")</f>
        <v>50-59</v>
      </c>
      <c r="U497" t="str">
        <f t="shared" si="47"/>
        <v>High (Stage 1)</v>
      </c>
    </row>
    <row r="498" spans="1:21">
      <c r="A498">
        <v>68</v>
      </c>
      <c r="B498">
        <v>1</v>
      </c>
      <c r="C498">
        <v>2</v>
      </c>
      <c r="D498">
        <v>180</v>
      </c>
      <c r="E498">
        <v>274</v>
      </c>
      <c r="F498">
        <v>1</v>
      </c>
      <c r="G498">
        <v>0</v>
      </c>
      <c r="H498">
        <v>150</v>
      </c>
      <c r="I498">
        <v>1</v>
      </c>
      <c r="J498">
        <v>1.6</v>
      </c>
      <c r="K498">
        <v>1</v>
      </c>
      <c r="L498">
        <v>0</v>
      </c>
      <c r="M498">
        <v>3</v>
      </c>
      <c r="N498">
        <v>0</v>
      </c>
      <c r="O498" t="str">
        <f t="shared" si="42"/>
        <v>Male</v>
      </c>
      <c r="P498" t="str">
        <f t="shared" si="43"/>
        <v>No Disease</v>
      </c>
      <c r="Q498" t="str">
        <f t="shared" si="44"/>
        <v>Non-Anginal Pain</v>
      </c>
      <c r="R498" t="str">
        <f t="shared" si="45"/>
        <v>High</v>
      </c>
      <c r="S498" t="str">
        <f t="shared" si="46"/>
        <v>Yes</v>
      </c>
      <c r="T498" t="str" cm="1">
        <f t="array" ref="T498">_xlfn.IFS(A497&lt;30,"18-29",A497&lt;40,"30-39",A497&lt;50,"40-49",A497&lt;60,"50-59",A497&gt;=60,"60+")</f>
        <v>50-59</v>
      </c>
      <c r="U498" t="str">
        <f t="shared" si="47"/>
        <v>High (Stage 2)</v>
      </c>
    </row>
    <row r="499" spans="1:21">
      <c r="A499">
        <v>57</v>
      </c>
      <c r="B499">
        <v>1</v>
      </c>
      <c r="C499">
        <v>1</v>
      </c>
      <c r="D499">
        <v>154</v>
      </c>
      <c r="E499">
        <v>232</v>
      </c>
      <c r="F499">
        <v>0</v>
      </c>
      <c r="G499">
        <v>0</v>
      </c>
      <c r="H499">
        <v>164</v>
      </c>
      <c r="I499">
        <v>0</v>
      </c>
      <c r="J499">
        <v>0</v>
      </c>
      <c r="K499">
        <v>2</v>
      </c>
      <c r="L499">
        <v>1</v>
      </c>
      <c r="M499">
        <v>2</v>
      </c>
      <c r="N499">
        <v>0</v>
      </c>
      <c r="O499" t="str">
        <f t="shared" si="42"/>
        <v>Male</v>
      </c>
      <c r="P499" t="str">
        <f t="shared" si="43"/>
        <v>No Disease</v>
      </c>
      <c r="Q499" t="str">
        <f t="shared" si="44"/>
        <v>Atypical Angina</v>
      </c>
      <c r="R499" t="str">
        <f t="shared" si="45"/>
        <v>Normal</v>
      </c>
      <c r="S499" t="str">
        <f t="shared" si="46"/>
        <v>No</v>
      </c>
      <c r="T499" t="str" cm="1">
        <f t="array" ref="T499">_xlfn.IFS(A498&lt;30,"18-29",A498&lt;40,"30-39",A498&lt;50,"40-49",A498&lt;60,"50-59",A498&gt;=60,"60+")</f>
        <v>60+</v>
      </c>
      <c r="U499" t="str">
        <f t="shared" si="47"/>
        <v>High (Stage 2)</v>
      </c>
    </row>
    <row r="500" spans="1:21">
      <c r="A500">
        <v>54</v>
      </c>
      <c r="B500">
        <v>1</v>
      </c>
      <c r="C500">
        <v>0</v>
      </c>
      <c r="D500">
        <v>140</v>
      </c>
      <c r="E500">
        <v>239</v>
      </c>
      <c r="F500">
        <v>0</v>
      </c>
      <c r="G500">
        <v>1</v>
      </c>
      <c r="H500">
        <v>160</v>
      </c>
      <c r="I500">
        <v>0</v>
      </c>
      <c r="J500">
        <v>1.2</v>
      </c>
      <c r="K500">
        <v>2</v>
      </c>
      <c r="L500">
        <v>0</v>
      </c>
      <c r="M500">
        <v>2</v>
      </c>
      <c r="N500">
        <v>1</v>
      </c>
      <c r="O500" t="str">
        <f t="shared" si="42"/>
        <v>Male</v>
      </c>
      <c r="P500" t="str">
        <f t="shared" si="43"/>
        <v>Heart Disease</v>
      </c>
      <c r="Q500" t="str">
        <f t="shared" si="44"/>
        <v>Typical Angina</v>
      </c>
      <c r="R500" t="str">
        <f t="shared" si="45"/>
        <v>Normal</v>
      </c>
      <c r="S500" t="str">
        <f t="shared" si="46"/>
        <v>No</v>
      </c>
      <c r="T500" t="str" cm="1">
        <f t="array" ref="T500">_xlfn.IFS(A499&lt;30,"18-29",A499&lt;40,"30-39",A499&lt;50,"40-49",A499&lt;60,"50-59",A499&gt;=60,"60+")</f>
        <v>50-59</v>
      </c>
      <c r="U500" t="str">
        <f t="shared" si="47"/>
        <v>High (Stage 2)</v>
      </c>
    </row>
    <row r="501" spans="1:21">
      <c r="A501">
        <v>46</v>
      </c>
      <c r="B501">
        <v>0</v>
      </c>
      <c r="C501">
        <v>2</v>
      </c>
      <c r="D501">
        <v>142</v>
      </c>
      <c r="E501">
        <v>177</v>
      </c>
      <c r="F501">
        <v>0</v>
      </c>
      <c r="G501">
        <v>0</v>
      </c>
      <c r="H501">
        <v>160</v>
      </c>
      <c r="I501">
        <v>1</v>
      </c>
      <c r="J501">
        <v>1.4</v>
      </c>
      <c r="K501">
        <v>0</v>
      </c>
      <c r="L501">
        <v>0</v>
      </c>
      <c r="M501">
        <v>2</v>
      </c>
      <c r="N501">
        <v>1</v>
      </c>
      <c r="O501" t="str">
        <f t="shared" si="42"/>
        <v>Female</v>
      </c>
      <c r="P501" t="str">
        <f t="shared" si="43"/>
        <v>Heart Disease</v>
      </c>
      <c r="Q501" t="str">
        <f t="shared" si="44"/>
        <v>Non-Anginal Pain</v>
      </c>
      <c r="R501" t="str">
        <f t="shared" si="45"/>
        <v>Normal</v>
      </c>
      <c r="S501" t="str">
        <f t="shared" si="46"/>
        <v>Yes</v>
      </c>
      <c r="T501" t="str" cm="1">
        <f t="array" ref="T501">_xlfn.IFS(A500&lt;30,"18-29",A500&lt;40,"30-39",A500&lt;50,"40-49",A500&lt;60,"50-59",A500&gt;=60,"60+")</f>
        <v>50-59</v>
      </c>
      <c r="U501" t="str">
        <f t="shared" si="47"/>
        <v>High (Stage 2)</v>
      </c>
    </row>
    <row r="502" spans="1:21">
      <c r="A502">
        <v>71</v>
      </c>
      <c r="B502">
        <v>0</v>
      </c>
      <c r="C502">
        <v>0</v>
      </c>
      <c r="D502">
        <v>112</v>
      </c>
      <c r="E502">
        <v>149</v>
      </c>
      <c r="F502">
        <v>0</v>
      </c>
      <c r="G502">
        <v>1</v>
      </c>
      <c r="H502">
        <v>125</v>
      </c>
      <c r="I502">
        <v>0</v>
      </c>
      <c r="J502">
        <v>1.6</v>
      </c>
      <c r="K502">
        <v>1</v>
      </c>
      <c r="L502">
        <v>0</v>
      </c>
      <c r="M502">
        <v>2</v>
      </c>
      <c r="N502">
        <v>1</v>
      </c>
      <c r="O502" t="str">
        <f t="shared" si="42"/>
        <v>Female</v>
      </c>
      <c r="P502" t="str">
        <f t="shared" si="43"/>
        <v>Heart Disease</v>
      </c>
      <c r="Q502" t="str">
        <f t="shared" si="44"/>
        <v>Typical Angina</v>
      </c>
      <c r="R502" t="str">
        <f t="shared" si="45"/>
        <v>Normal</v>
      </c>
      <c r="S502" t="str">
        <f t="shared" si="46"/>
        <v>No</v>
      </c>
      <c r="T502" t="str" cm="1">
        <f t="array" ref="T502">_xlfn.IFS(A501&lt;30,"18-29",A501&lt;40,"30-39",A501&lt;50,"40-49",A501&lt;60,"50-59",A501&gt;=60,"60+")</f>
        <v>40-49</v>
      </c>
      <c r="U502" t="str">
        <f t="shared" si="47"/>
        <v>Normal</v>
      </c>
    </row>
    <row r="503" spans="1:21">
      <c r="A503">
        <v>35</v>
      </c>
      <c r="B503">
        <v>0</v>
      </c>
      <c r="C503">
        <v>0</v>
      </c>
      <c r="D503">
        <v>138</v>
      </c>
      <c r="E503">
        <v>183</v>
      </c>
      <c r="F503">
        <v>0</v>
      </c>
      <c r="G503">
        <v>1</v>
      </c>
      <c r="H503">
        <v>182</v>
      </c>
      <c r="I503">
        <v>0</v>
      </c>
      <c r="J503">
        <v>1.4</v>
      </c>
      <c r="K503">
        <v>2</v>
      </c>
      <c r="L503">
        <v>0</v>
      </c>
      <c r="M503">
        <v>2</v>
      </c>
      <c r="N503">
        <v>1</v>
      </c>
      <c r="O503" t="str">
        <f t="shared" si="42"/>
        <v>Female</v>
      </c>
      <c r="P503" t="str">
        <f t="shared" si="43"/>
        <v>Heart Disease</v>
      </c>
      <c r="Q503" t="str">
        <f t="shared" si="44"/>
        <v>Typical Angina</v>
      </c>
      <c r="R503" t="str">
        <f t="shared" si="45"/>
        <v>Normal</v>
      </c>
      <c r="S503" t="str">
        <f t="shared" si="46"/>
        <v>No</v>
      </c>
      <c r="T503" t="str" cm="1">
        <f t="array" ref="T503">_xlfn.IFS(A502&lt;30,"18-29",A502&lt;40,"30-39",A502&lt;50,"40-49",A502&lt;60,"50-59",A502&gt;=60,"60+")</f>
        <v>60+</v>
      </c>
      <c r="U503" t="str">
        <f t="shared" si="47"/>
        <v>High (Stage 1)</v>
      </c>
    </row>
    <row r="504" spans="1:21">
      <c r="A504">
        <v>46</v>
      </c>
      <c r="B504">
        <v>0</v>
      </c>
      <c r="C504">
        <v>2</v>
      </c>
      <c r="D504">
        <v>142</v>
      </c>
      <c r="E504">
        <v>177</v>
      </c>
      <c r="F504">
        <v>0</v>
      </c>
      <c r="G504">
        <v>0</v>
      </c>
      <c r="H504">
        <v>160</v>
      </c>
      <c r="I504">
        <v>1</v>
      </c>
      <c r="J504">
        <v>1.4</v>
      </c>
      <c r="K504">
        <v>0</v>
      </c>
      <c r="L504">
        <v>0</v>
      </c>
      <c r="M504">
        <v>2</v>
      </c>
      <c r="N504">
        <v>1</v>
      </c>
      <c r="O504" t="str">
        <f t="shared" si="42"/>
        <v>Female</v>
      </c>
      <c r="P504" t="str">
        <f t="shared" si="43"/>
        <v>Heart Disease</v>
      </c>
      <c r="Q504" t="str">
        <f t="shared" si="44"/>
        <v>Non-Anginal Pain</v>
      </c>
      <c r="R504" t="str">
        <f t="shared" si="45"/>
        <v>Normal</v>
      </c>
      <c r="S504" t="str">
        <f t="shared" si="46"/>
        <v>Yes</v>
      </c>
      <c r="T504" t="str" cm="1">
        <f t="array" ref="T504">_xlfn.IFS(A503&lt;30,"18-29",A503&lt;40,"30-39",A503&lt;50,"40-49",A503&lt;60,"50-59",A503&gt;=60,"60+")</f>
        <v>30-39</v>
      </c>
      <c r="U504" t="str">
        <f t="shared" si="47"/>
        <v>High (Stage 2)</v>
      </c>
    </row>
    <row r="505" spans="1:21">
      <c r="A505">
        <v>45</v>
      </c>
      <c r="B505">
        <v>0</v>
      </c>
      <c r="C505">
        <v>1</v>
      </c>
      <c r="D505">
        <v>130</v>
      </c>
      <c r="E505">
        <v>234</v>
      </c>
      <c r="F505">
        <v>0</v>
      </c>
      <c r="G505">
        <v>0</v>
      </c>
      <c r="H505">
        <v>175</v>
      </c>
      <c r="I505">
        <v>0</v>
      </c>
      <c r="J505">
        <v>0.6</v>
      </c>
      <c r="K505">
        <v>1</v>
      </c>
      <c r="L505">
        <v>0</v>
      </c>
      <c r="M505">
        <v>2</v>
      </c>
      <c r="N505">
        <v>1</v>
      </c>
      <c r="O505" t="str">
        <f t="shared" si="42"/>
        <v>Female</v>
      </c>
      <c r="P505" t="str">
        <f t="shared" si="43"/>
        <v>Heart Disease</v>
      </c>
      <c r="Q505" t="str">
        <f t="shared" si="44"/>
        <v>Atypical Angina</v>
      </c>
      <c r="R505" t="str">
        <f t="shared" si="45"/>
        <v>Normal</v>
      </c>
      <c r="S505" t="str">
        <f t="shared" si="46"/>
        <v>No</v>
      </c>
      <c r="T505" t="str" cm="1">
        <f t="array" ref="T505">_xlfn.IFS(A504&lt;30,"18-29",A504&lt;40,"30-39",A504&lt;50,"40-49",A504&lt;60,"50-59",A504&gt;=60,"60+")</f>
        <v>40-49</v>
      </c>
      <c r="U505" t="str">
        <f t="shared" si="47"/>
        <v>High (Stage 1)</v>
      </c>
    </row>
    <row r="506" spans="1:21">
      <c r="A506">
        <v>47</v>
      </c>
      <c r="B506">
        <v>1</v>
      </c>
      <c r="C506">
        <v>2</v>
      </c>
      <c r="D506">
        <v>108</v>
      </c>
      <c r="E506">
        <v>243</v>
      </c>
      <c r="F506">
        <v>0</v>
      </c>
      <c r="G506">
        <v>1</v>
      </c>
      <c r="H506">
        <v>152</v>
      </c>
      <c r="I506">
        <v>0</v>
      </c>
      <c r="J506">
        <v>0</v>
      </c>
      <c r="K506">
        <v>2</v>
      </c>
      <c r="L506">
        <v>0</v>
      </c>
      <c r="M506">
        <v>2</v>
      </c>
      <c r="N506">
        <v>0</v>
      </c>
      <c r="O506" t="str">
        <f t="shared" si="42"/>
        <v>Male</v>
      </c>
      <c r="P506" t="str">
        <f t="shared" si="43"/>
        <v>No Disease</v>
      </c>
      <c r="Q506" t="str">
        <f t="shared" si="44"/>
        <v>Non-Anginal Pain</v>
      </c>
      <c r="R506" t="str">
        <f t="shared" si="45"/>
        <v>Normal</v>
      </c>
      <c r="S506" t="str">
        <f t="shared" si="46"/>
        <v>No</v>
      </c>
      <c r="T506" t="str" cm="1">
        <f t="array" ref="T506">_xlfn.IFS(A505&lt;30,"18-29",A505&lt;40,"30-39",A505&lt;50,"40-49",A505&lt;60,"50-59",A505&gt;=60,"60+")</f>
        <v>40-49</v>
      </c>
      <c r="U506" t="str">
        <f t="shared" si="47"/>
        <v>Normal</v>
      </c>
    </row>
    <row r="507" spans="1:21">
      <c r="A507">
        <v>44</v>
      </c>
      <c r="B507">
        <v>0</v>
      </c>
      <c r="C507">
        <v>2</v>
      </c>
      <c r="D507">
        <v>118</v>
      </c>
      <c r="E507">
        <v>242</v>
      </c>
      <c r="F507">
        <v>0</v>
      </c>
      <c r="G507">
        <v>1</v>
      </c>
      <c r="H507">
        <v>149</v>
      </c>
      <c r="I507">
        <v>0</v>
      </c>
      <c r="J507">
        <v>0.3</v>
      </c>
      <c r="K507">
        <v>1</v>
      </c>
      <c r="L507">
        <v>1</v>
      </c>
      <c r="M507">
        <v>2</v>
      </c>
      <c r="N507">
        <v>1</v>
      </c>
      <c r="O507" t="str">
        <f t="shared" si="42"/>
        <v>Female</v>
      </c>
      <c r="P507" t="str">
        <f t="shared" si="43"/>
        <v>Heart Disease</v>
      </c>
      <c r="Q507" t="str">
        <f t="shared" si="44"/>
        <v>Non-Anginal Pain</v>
      </c>
      <c r="R507" t="str">
        <f t="shared" si="45"/>
        <v>Normal</v>
      </c>
      <c r="S507" t="str">
        <f t="shared" si="46"/>
        <v>No</v>
      </c>
      <c r="T507" t="str" cm="1">
        <f t="array" ref="T507">_xlfn.IFS(A506&lt;30,"18-29",A506&lt;40,"30-39",A506&lt;50,"40-49",A506&lt;60,"50-59",A506&gt;=60,"60+")</f>
        <v>40-49</v>
      </c>
      <c r="U507" t="str">
        <f t="shared" si="47"/>
        <v>Normal</v>
      </c>
    </row>
    <row r="508" spans="1:21">
      <c r="A508">
        <v>61</v>
      </c>
      <c r="B508">
        <v>1</v>
      </c>
      <c r="C508">
        <v>0</v>
      </c>
      <c r="D508">
        <v>120</v>
      </c>
      <c r="E508">
        <v>260</v>
      </c>
      <c r="F508">
        <v>0</v>
      </c>
      <c r="G508">
        <v>1</v>
      </c>
      <c r="H508">
        <v>140</v>
      </c>
      <c r="I508">
        <v>1</v>
      </c>
      <c r="J508">
        <v>3.6</v>
      </c>
      <c r="K508">
        <v>1</v>
      </c>
      <c r="L508">
        <v>1</v>
      </c>
      <c r="M508">
        <v>3</v>
      </c>
      <c r="N508">
        <v>0</v>
      </c>
      <c r="O508" t="str">
        <f t="shared" si="42"/>
        <v>Male</v>
      </c>
      <c r="P508" t="str">
        <f t="shared" si="43"/>
        <v>No Disease</v>
      </c>
      <c r="Q508" t="str">
        <f t="shared" si="44"/>
        <v>Typical Angina</v>
      </c>
      <c r="R508" t="str">
        <f t="shared" si="45"/>
        <v>Normal</v>
      </c>
      <c r="S508" t="str">
        <f t="shared" si="46"/>
        <v>Yes</v>
      </c>
      <c r="T508" t="str" cm="1">
        <f t="array" ref="T508">_xlfn.IFS(A507&lt;30,"18-29",A507&lt;40,"30-39",A507&lt;50,"40-49",A507&lt;60,"50-59",A507&gt;=60,"60+")</f>
        <v>40-49</v>
      </c>
      <c r="U508" t="str">
        <f t="shared" si="47"/>
        <v>Elevated</v>
      </c>
    </row>
    <row r="509" spans="1:21">
      <c r="A509">
        <v>41</v>
      </c>
      <c r="B509">
        <v>0</v>
      </c>
      <c r="C509">
        <v>1</v>
      </c>
      <c r="D509">
        <v>130</v>
      </c>
      <c r="E509">
        <v>204</v>
      </c>
      <c r="F509">
        <v>0</v>
      </c>
      <c r="G509">
        <v>0</v>
      </c>
      <c r="H509">
        <v>172</v>
      </c>
      <c r="I509">
        <v>0</v>
      </c>
      <c r="J509">
        <v>1.4</v>
      </c>
      <c r="K509">
        <v>2</v>
      </c>
      <c r="L509">
        <v>0</v>
      </c>
      <c r="M509">
        <v>2</v>
      </c>
      <c r="N509">
        <v>1</v>
      </c>
      <c r="O509" t="str">
        <f t="shared" si="42"/>
        <v>Female</v>
      </c>
      <c r="P509" t="str">
        <f t="shared" si="43"/>
        <v>Heart Disease</v>
      </c>
      <c r="Q509" t="str">
        <f t="shared" si="44"/>
        <v>Atypical Angina</v>
      </c>
      <c r="R509" t="str">
        <f t="shared" si="45"/>
        <v>Normal</v>
      </c>
      <c r="S509" t="str">
        <f t="shared" si="46"/>
        <v>No</v>
      </c>
      <c r="T509" t="str" cm="1">
        <f t="array" ref="T509">_xlfn.IFS(A508&lt;30,"18-29",A508&lt;40,"30-39",A508&lt;50,"40-49",A508&lt;60,"50-59",A508&gt;=60,"60+")</f>
        <v>60+</v>
      </c>
      <c r="U509" t="str">
        <f t="shared" si="47"/>
        <v>High (Stage 1)</v>
      </c>
    </row>
    <row r="510" spans="1:21">
      <c r="A510">
        <v>56</v>
      </c>
      <c r="B510">
        <v>0</v>
      </c>
      <c r="C510">
        <v>0</v>
      </c>
      <c r="D510">
        <v>200</v>
      </c>
      <c r="E510">
        <v>288</v>
      </c>
      <c r="F510">
        <v>1</v>
      </c>
      <c r="G510">
        <v>0</v>
      </c>
      <c r="H510">
        <v>133</v>
      </c>
      <c r="I510">
        <v>1</v>
      </c>
      <c r="J510">
        <v>4</v>
      </c>
      <c r="K510">
        <v>0</v>
      </c>
      <c r="L510">
        <v>2</v>
      </c>
      <c r="M510">
        <v>3</v>
      </c>
      <c r="N510">
        <v>0</v>
      </c>
      <c r="O510" t="str">
        <f t="shared" si="42"/>
        <v>Female</v>
      </c>
      <c r="P510" t="str">
        <f t="shared" si="43"/>
        <v>No Disease</v>
      </c>
      <c r="Q510" t="str">
        <f t="shared" si="44"/>
        <v>Typical Angina</v>
      </c>
      <c r="R510" t="str">
        <f t="shared" si="45"/>
        <v>High</v>
      </c>
      <c r="S510" t="str">
        <f t="shared" si="46"/>
        <v>Yes</v>
      </c>
      <c r="T510" t="str" cm="1">
        <f t="array" ref="T510">_xlfn.IFS(A509&lt;30,"18-29",A509&lt;40,"30-39",A509&lt;50,"40-49",A509&lt;60,"50-59",A509&gt;=60,"60+")</f>
        <v>40-49</v>
      </c>
      <c r="U510" t="str">
        <f t="shared" si="47"/>
        <v>High (Stage 2)</v>
      </c>
    </row>
    <row r="511" spans="1:21">
      <c r="A511">
        <v>55</v>
      </c>
      <c r="B511">
        <v>0</v>
      </c>
      <c r="C511">
        <v>0</v>
      </c>
      <c r="D511">
        <v>180</v>
      </c>
      <c r="E511">
        <v>327</v>
      </c>
      <c r="F511">
        <v>0</v>
      </c>
      <c r="G511">
        <v>2</v>
      </c>
      <c r="H511">
        <v>117</v>
      </c>
      <c r="I511">
        <v>1</v>
      </c>
      <c r="J511">
        <v>3.4</v>
      </c>
      <c r="K511">
        <v>1</v>
      </c>
      <c r="L511">
        <v>0</v>
      </c>
      <c r="M511">
        <v>2</v>
      </c>
      <c r="N511">
        <v>0</v>
      </c>
      <c r="O511" t="str">
        <f t="shared" si="42"/>
        <v>Female</v>
      </c>
      <c r="P511" t="str">
        <f t="shared" si="43"/>
        <v>No Disease</v>
      </c>
      <c r="Q511" t="str">
        <f t="shared" si="44"/>
        <v>Typical Angina</v>
      </c>
      <c r="R511" t="str">
        <f t="shared" si="45"/>
        <v>Normal</v>
      </c>
      <c r="S511" t="str">
        <f t="shared" si="46"/>
        <v>Yes</v>
      </c>
      <c r="T511" t="str" cm="1">
        <f t="array" ref="T511">_xlfn.IFS(A510&lt;30,"18-29",A510&lt;40,"30-39",A510&lt;50,"40-49",A510&lt;60,"50-59",A510&gt;=60,"60+")</f>
        <v>50-59</v>
      </c>
      <c r="U511" t="str">
        <f t="shared" si="47"/>
        <v>High (Stage 2)</v>
      </c>
    </row>
    <row r="512" spans="1:21">
      <c r="A512">
        <v>54</v>
      </c>
      <c r="B512">
        <v>0</v>
      </c>
      <c r="C512">
        <v>1</v>
      </c>
      <c r="D512">
        <v>132</v>
      </c>
      <c r="E512">
        <v>288</v>
      </c>
      <c r="F512">
        <v>1</v>
      </c>
      <c r="G512">
        <v>0</v>
      </c>
      <c r="H512">
        <v>159</v>
      </c>
      <c r="I512">
        <v>1</v>
      </c>
      <c r="J512">
        <v>0</v>
      </c>
      <c r="K512">
        <v>2</v>
      </c>
      <c r="L512">
        <v>1</v>
      </c>
      <c r="M512">
        <v>2</v>
      </c>
      <c r="N512">
        <v>1</v>
      </c>
      <c r="O512" t="str">
        <f t="shared" si="42"/>
        <v>Female</v>
      </c>
      <c r="P512" t="str">
        <f t="shared" si="43"/>
        <v>Heart Disease</v>
      </c>
      <c r="Q512" t="str">
        <f t="shared" si="44"/>
        <v>Atypical Angina</v>
      </c>
      <c r="R512" t="str">
        <f t="shared" si="45"/>
        <v>High</v>
      </c>
      <c r="S512" t="str">
        <f t="shared" si="46"/>
        <v>Yes</v>
      </c>
      <c r="T512" t="str" cm="1">
        <f t="array" ref="T512">_xlfn.IFS(A511&lt;30,"18-29",A511&lt;40,"30-39",A511&lt;50,"40-49",A511&lt;60,"50-59",A511&gt;=60,"60+")</f>
        <v>50-59</v>
      </c>
      <c r="U512" t="str">
        <f t="shared" si="47"/>
        <v>High (Stage 1)</v>
      </c>
    </row>
    <row r="513" spans="1:21">
      <c r="A513">
        <v>43</v>
      </c>
      <c r="B513">
        <v>1</v>
      </c>
      <c r="C513">
        <v>0</v>
      </c>
      <c r="D513">
        <v>120</v>
      </c>
      <c r="E513">
        <v>177</v>
      </c>
      <c r="F513">
        <v>0</v>
      </c>
      <c r="G513">
        <v>0</v>
      </c>
      <c r="H513">
        <v>120</v>
      </c>
      <c r="I513">
        <v>1</v>
      </c>
      <c r="J513">
        <v>2.5</v>
      </c>
      <c r="K513">
        <v>1</v>
      </c>
      <c r="L513">
        <v>0</v>
      </c>
      <c r="M513">
        <v>3</v>
      </c>
      <c r="N513">
        <v>0</v>
      </c>
      <c r="O513" t="str">
        <f t="shared" si="42"/>
        <v>Male</v>
      </c>
      <c r="P513" t="str">
        <f t="shared" si="43"/>
        <v>No Disease</v>
      </c>
      <c r="Q513" t="str">
        <f t="shared" si="44"/>
        <v>Typical Angina</v>
      </c>
      <c r="R513" t="str">
        <f t="shared" si="45"/>
        <v>Normal</v>
      </c>
      <c r="S513" t="str">
        <f t="shared" si="46"/>
        <v>Yes</v>
      </c>
      <c r="T513" t="str" cm="1">
        <f t="array" ref="T513">_xlfn.IFS(A512&lt;30,"18-29",A512&lt;40,"30-39",A512&lt;50,"40-49",A512&lt;60,"50-59",A512&gt;=60,"60+")</f>
        <v>50-59</v>
      </c>
      <c r="U513" t="str">
        <f t="shared" si="47"/>
        <v>Elevated</v>
      </c>
    </row>
    <row r="514" spans="1:21">
      <c r="A514">
        <v>44</v>
      </c>
      <c r="B514">
        <v>1</v>
      </c>
      <c r="C514">
        <v>0</v>
      </c>
      <c r="D514">
        <v>112</v>
      </c>
      <c r="E514">
        <v>290</v>
      </c>
      <c r="F514">
        <v>0</v>
      </c>
      <c r="G514">
        <v>0</v>
      </c>
      <c r="H514">
        <v>153</v>
      </c>
      <c r="I514">
        <v>0</v>
      </c>
      <c r="J514">
        <v>0</v>
      </c>
      <c r="K514">
        <v>2</v>
      </c>
      <c r="L514">
        <v>1</v>
      </c>
      <c r="M514">
        <v>2</v>
      </c>
      <c r="N514">
        <v>0</v>
      </c>
      <c r="O514" t="str">
        <f t="shared" ref="O514:O577" si="48">IF(B514=1,"Male","Female")</f>
        <v>Male</v>
      </c>
      <c r="P514" t="str">
        <f t="shared" ref="P514:P577" si="49">IF(N514=1,"Heart Disease","No Disease")</f>
        <v>No Disease</v>
      </c>
      <c r="Q514" t="str">
        <f t="shared" ref="Q514:Q577" si="50">IF(C514=0,"Typical Angina",IF(C514=1,"Atypical Angina",IF(C514=2,"Non-Anginal Pain","Asymptomatic")))</f>
        <v>Typical Angina</v>
      </c>
      <c r="R514" t="str">
        <f t="shared" ref="R514:R577" si="51">IF(F514=1,"High","Normal")</f>
        <v>Normal</v>
      </c>
      <c r="S514" t="str">
        <f t="shared" ref="S514:S577" si="52">IF(I514=1,"Yes","No")</f>
        <v>No</v>
      </c>
      <c r="T514" t="str" cm="1">
        <f t="array" ref="T514">_xlfn.IFS(A513&lt;30,"18-29",A513&lt;40,"30-39",A513&lt;50,"40-49",A513&lt;60,"50-59",A513&gt;=60,"60+")</f>
        <v>40-49</v>
      </c>
      <c r="U514" t="str">
        <f t="shared" ref="U514:U577" si="53">IF(D514&lt;120,"Normal",IF(D514&lt;130,"Elevated",IF(D514&lt;140,"High (Stage 1)","High (Stage 2)")))</f>
        <v>Normal</v>
      </c>
    </row>
    <row r="515" spans="1:21">
      <c r="A515">
        <v>54</v>
      </c>
      <c r="B515">
        <v>1</v>
      </c>
      <c r="C515">
        <v>0</v>
      </c>
      <c r="D515">
        <v>110</v>
      </c>
      <c r="E515">
        <v>206</v>
      </c>
      <c r="F515">
        <v>0</v>
      </c>
      <c r="G515">
        <v>0</v>
      </c>
      <c r="H515">
        <v>108</v>
      </c>
      <c r="I515">
        <v>1</v>
      </c>
      <c r="J515">
        <v>0</v>
      </c>
      <c r="K515">
        <v>1</v>
      </c>
      <c r="L515">
        <v>1</v>
      </c>
      <c r="M515">
        <v>2</v>
      </c>
      <c r="N515">
        <v>0</v>
      </c>
      <c r="O515" t="str">
        <f t="shared" si="48"/>
        <v>Male</v>
      </c>
      <c r="P515" t="str">
        <f t="shared" si="49"/>
        <v>No Disease</v>
      </c>
      <c r="Q515" t="str">
        <f t="shared" si="50"/>
        <v>Typical Angina</v>
      </c>
      <c r="R515" t="str">
        <f t="shared" si="51"/>
        <v>Normal</v>
      </c>
      <c r="S515" t="str">
        <f t="shared" si="52"/>
        <v>Yes</v>
      </c>
      <c r="T515" t="str" cm="1">
        <f t="array" ref="T515">_xlfn.IFS(A514&lt;30,"18-29",A514&lt;40,"30-39",A514&lt;50,"40-49",A514&lt;60,"50-59",A514&gt;=60,"60+")</f>
        <v>40-49</v>
      </c>
      <c r="U515" t="str">
        <f t="shared" si="53"/>
        <v>Normal</v>
      </c>
    </row>
    <row r="516" spans="1:21">
      <c r="A516">
        <v>44</v>
      </c>
      <c r="B516">
        <v>1</v>
      </c>
      <c r="C516">
        <v>1</v>
      </c>
      <c r="D516">
        <v>120</v>
      </c>
      <c r="E516">
        <v>220</v>
      </c>
      <c r="F516">
        <v>0</v>
      </c>
      <c r="G516">
        <v>1</v>
      </c>
      <c r="H516">
        <v>170</v>
      </c>
      <c r="I516">
        <v>0</v>
      </c>
      <c r="J516">
        <v>0</v>
      </c>
      <c r="K516">
        <v>2</v>
      </c>
      <c r="L516">
        <v>0</v>
      </c>
      <c r="M516">
        <v>2</v>
      </c>
      <c r="N516">
        <v>1</v>
      </c>
      <c r="O516" t="str">
        <f t="shared" si="48"/>
        <v>Male</v>
      </c>
      <c r="P516" t="str">
        <f t="shared" si="49"/>
        <v>Heart Disease</v>
      </c>
      <c r="Q516" t="str">
        <f t="shared" si="50"/>
        <v>Atypical Angina</v>
      </c>
      <c r="R516" t="str">
        <f t="shared" si="51"/>
        <v>Normal</v>
      </c>
      <c r="S516" t="str">
        <f t="shared" si="52"/>
        <v>No</v>
      </c>
      <c r="T516" t="str" cm="1">
        <f t="array" ref="T516">_xlfn.IFS(A515&lt;30,"18-29",A515&lt;40,"30-39",A515&lt;50,"40-49",A515&lt;60,"50-59",A515&gt;=60,"60+")</f>
        <v>50-59</v>
      </c>
      <c r="U516" t="str">
        <f t="shared" si="53"/>
        <v>Elevated</v>
      </c>
    </row>
    <row r="517" spans="1:21">
      <c r="A517">
        <v>49</v>
      </c>
      <c r="B517">
        <v>1</v>
      </c>
      <c r="C517">
        <v>2</v>
      </c>
      <c r="D517">
        <v>120</v>
      </c>
      <c r="E517">
        <v>188</v>
      </c>
      <c r="F517">
        <v>0</v>
      </c>
      <c r="G517">
        <v>1</v>
      </c>
      <c r="H517">
        <v>139</v>
      </c>
      <c r="I517">
        <v>0</v>
      </c>
      <c r="J517">
        <v>2</v>
      </c>
      <c r="K517">
        <v>1</v>
      </c>
      <c r="L517">
        <v>3</v>
      </c>
      <c r="M517">
        <v>3</v>
      </c>
      <c r="N517">
        <v>0</v>
      </c>
      <c r="O517" t="str">
        <f t="shared" si="48"/>
        <v>Male</v>
      </c>
      <c r="P517" t="str">
        <f t="shared" si="49"/>
        <v>No Disease</v>
      </c>
      <c r="Q517" t="str">
        <f t="shared" si="50"/>
        <v>Non-Anginal Pain</v>
      </c>
      <c r="R517" t="str">
        <f t="shared" si="51"/>
        <v>Normal</v>
      </c>
      <c r="S517" t="str">
        <f t="shared" si="52"/>
        <v>No</v>
      </c>
      <c r="T517" t="str" cm="1">
        <f t="array" ref="T517">_xlfn.IFS(A516&lt;30,"18-29",A516&lt;40,"30-39",A516&lt;50,"40-49",A516&lt;60,"50-59",A516&gt;=60,"60+")</f>
        <v>40-49</v>
      </c>
      <c r="U517" t="str">
        <f t="shared" si="53"/>
        <v>Elevated</v>
      </c>
    </row>
    <row r="518" spans="1:21">
      <c r="A518">
        <v>60</v>
      </c>
      <c r="B518">
        <v>1</v>
      </c>
      <c r="C518">
        <v>0</v>
      </c>
      <c r="D518">
        <v>130</v>
      </c>
      <c r="E518">
        <v>206</v>
      </c>
      <c r="F518">
        <v>0</v>
      </c>
      <c r="G518">
        <v>0</v>
      </c>
      <c r="H518">
        <v>132</v>
      </c>
      <c r="I518">
        <v>1</v>
      </c>
      <c r="J518">
        <v>2.4</v>
      </c>
      <c r="K518">
        <v>1</v>
      </c>
      <c r="L518">
        <v>2</v>
      </c>
      <c r="M518">
        <v>3</v>
      </c>
      <c r="N518">
        <v>0</v>
      </c>
      <c r="O518" t="str">
        <f t="shared" si="48"/>
        <v>Male</v>
      </c>
      <c r="P518" t="str">
        <f t="shared" si="49"/>
        <v>No Disease</v>
      </c>
      <c r="Q518" t="str">
        <f t="shared" si="50"/>
        <v>Typical Angina</v>
      </c>
      <c r="R518" t="str">
        <f t="shared" si="51"/>
        <v>Normal</v>
      </c>
      <c r="S518" t="str">
        <f t="shared" si="52"/>
        <v>Yes</v>
      </c>
      <c r="T518" t="str" cm="1">
        <f t="array" ref="T518">_xlfn.IFS(A517&lt;30,"18-29",A517&lt;40,"30-39",A517&lt;50,"40-49",A517&lt;60,"50-59",A517&gt;=60,"60+")</f>
        <v>40-49</v>
      </c>
      <c r="U518" t="str">
        <f t="shared" si="53"/>
        <v>High (Stage 1)</v>
      </c>
    </row>
    <row r="519" spans="1:21">
      <c r="A519">
        <v>41</v>
      </c>
      <c r="B519">
        <v>0</v>
      </c>
      <c r="C519">
        <v>1</v>
      </c>
      <c r="D519">
        <v>105</v>
      </c>
      <c r="E519">
        <v>198</v>
      </c>
      <c r="F519">
        <v>0</v>
      </c>
      <c r="G519">
        <v>1</v>
      </c>
      <c r="H519">
        <v>168</v>
      </c>
      <c r="I519">
        <v>0</v>
      </c>
      <c r="J519">
        <v>0</v>
      </c>
      <c r="K519">
        <v>2</v>
      </c>
      <c r="L519">
        <v>1</v>
      </c>
      <c r="M519">
        <v>2</v>
      </c>
      <c r="N519">
        <v>1</v>
      </c>
      <c r="O519" t="str">
        <f t="shared" si="48"/>
        <v>Female</v>
      </c>
      <c r="P519" t="str">
        <f t="shared" si="49"/>
        <v>Heart Disease</v>
      </c>
      <c r="Q519" t="str">
        <f t="shared" si="50"/>
        <v>Atypical Angina</v>
      </c>
      <c r="R519" t="str">
        <f t="shared" si="51"/>
        <v>Normal</v>
      </c>
      <c r="S519" t="str">
        <f t="shared" si="52"/>
        <v>No</v>
      </c>
      <c r="T519" t="str" cm="1">
        <f t="array" ref="T519">_xlfn.IFS(A518&lt;30,"18-29",A518&lt;40,"30-39",A518&lt;50,"40-49",A518&lt;60,"50-59",A518&gt;=60,"60+")</f>
        <v>60+</v>
      </c>
      <c r="U519" t="str">
        <f t="shared" si="53"/>
        <v>Normal</v>
      </c>
    </row>
    <row r="520" spans="1:21">
      <c r="A520">
        <v>49</v>
      </c>
      <c r="B520">
        <v>1</v>
      </c>
      <c r="C520">
        <v>2</v>
      </c>
      <c r="D520">
        <v>120</v>
      </c>
      <c r="E520">
        <v>188</v>
      </c>
      <c r="F520">
        <v>0</v>
      </c>
      <c r="G520">
        <v>1</v>
      </c>
      <c r="H520">
        <v>139</v>
      </c>
      <c r="I520">
        <v>0</v>
      </c>
      <c r="J520">
        <v>2</v>
      </c>
      <c r="K520">
        <v>1</v>
      </c>
      <c r="L520">
        <v>3</v>
      </c>
      <c r="M520">
        <v>3</v>
      </c>
      <c r="N520">
        <v>0</v>
      </c>
      <c r="O520" t="str">
        <f t="shared" si="48"/>
        <v>Male</v>
      </c>
      <c r="P520" t="str">
        <f t="shared" si="49"/>
        <v>No Disease</v>
      </c>
      <c r="Q520" t="str">
        <f t="shared" si="50"/>
        <v>Non-Anginal Pain</v>
      </c>
      <c r="R520" t="str">
        <f t="shared" si="51"/>
        <v>Normal</v>
      </c>
      <c r="S520" t="str">
        <f t="shared" si="52"/>
        <v>No</v>
      </c>
      <c r="T520" t="str" cm="1">
        <f t="array" ref="T520">_xlfn.IFS(A519&lt;30,"18-29",A519&lt;40,"30-39",A519&lt;50,"40-49",A519&lt;60,"50-59",A519&gt;=60,"60+")</f>
        <v>40-49</v>
      </c>
      <c r="U520" t="str">
        <f t="shared" si="53"/>
        <v>Elevated</v>
      </c>
    </row>
    <row r="521" spans="1:21">
      <c r="A521">
        <v>61</v>
      </c>
      <c r="B521">
        <v>1</v>
      </c>
      <c r="C521">
        <v>0</v>
      </c>
      <c r="D521">
        <v>148</v>
      </c>
      <c r="E521">
        <v>203</v>
      </c>
      <c r="F521">
        <v>0</v>
      </c>
      <c r="G521">
        <v>1</v>
      </c>
      <c r="H521">
        <v>161</v>
      </c>
      <c r="I521">
        <v>0</v>
      </c>
      <c r="J521">
        <v>0</v>
      </c>
      <c r="K521">
        <v>2</v>
      </c>
      <c r="L521">
        <v>1</v>
      </c>
      <c r="M521">
        <v>3</v>
      </c>
      <c r="N521">
        <v>0</v>
      </c>
      <c r="O521" t="str">
        <f t="shared" si="48"/>
        <v>Male</v>
      </c>
      <c r="P521" t="str">
        <f t="shared" si="49"/>
        <v>No Disease</v>
      </c>
      <c r="Q521" t="str">
        <f t="shared" si="50"/>
        <v>Typical Angina</v>
      </c>
      <c r="R521" t="str">
        <f t="shared" si="51"/>
        <v>Normal</v>
      </c>
      <c r="S521" t="str">
        <f t="shared" si="52"/>
        <v>No</v>
      </c>
      <c r="T521" t="str" cm="1">
        <f t="array" ref="T521">_xlfn.IFS(A520&lt;30,"18-29",A520&lt;40,"30-39",A520&lt;50,"40-49",A520&lt;60,"50-59",A520&gt;=60,"60+")</f>
        <v>40-49</v>
      </c>
      <c r="U521" t="str">
        <f t="shared" si="53"/>
        <v>High (Stage 2)</v>
      </c>
    </row>
    <row r="522" spans="1:21">
      <c r="A522">
        <v>59</v>
      </c>
      <c r="B522">
        <v>1</v>
      </c>
      <c r="C522">
        <v>0</v>
      </c>
      <c r="D522">
        <v>140</v>
      </c>
      <c r="E522">
        <v>177</v>
      </c>
      <c r="F522">
        <v>0</v>
      </c>
      <c r="G522">
        <v>1</v>
      </c>
      <c r="H522">
        <v>162</v>
      </c>
      <c r="I522">
        <v>1</v>
      </c>
      <c r="J522">
        <v>0</v>
      </c>
      <c r="K522">
        <v>2</v>
      </c>
      <c r="L522">
        <v>1</v>
      </c>
      <c r="M522">
        <v>3</v>
      </c>
      <c r="N522">
        <v>0</v>
      </c>
      <c r="O522" t="str">
        <f t="shared" si="48"/>
        <v>Male</v>
      </c>
      <c r="P522" t="str">
        <f t="shared" si="49"/>
        <v>No Disease</v>
      </c>
      <c r="Q522" t="str">
        <f t="shared" si="50"/>
        <v>Typical Angina</v>
      </c>
      <c r="R522" t="str">
        <f t="shared" si="51"/>
        <v>Normal</v>
      </c>
      <c r="S522" t="str">
        <f t="shared" si="52"/>
        <v>Yes</v>
      </c>
      <c r="T522" t="str" cm="1">
        <f t="array" ref="T522">_xlfn.IFS(A521&lt;30,"18-29",A521&lt;40,"30-39",A521&lt;50,"40-49",A521&lt;60,"50-59",A521&gt;=60,"60+")</f>
        <v>60+</v>
      </c>
      <c r="U522" t="str">
        <f t="shared" si="53"/>
        <v>High (Stage 2)</v>
      </c>
    </row>
    <row r="523" spans="1:21">
      <c r="A523">
        <v>58</v>
      </c>
      <c r="B523">
        <v>1</v>
      </c>
      <c r="C523">
        <v>1</v>
      </c>
      <c r="D523">
        <v>125</v>
      </c>
      <c r="E523">
        <v>220</v>
      </c>
      <c r="F523">
        <v>0</v>
      </c>
      <c r="G523">
        <v>1</v>
      </c>
      <c r="H523">
        <v>144</v>
      </c>
      <c r="I523">
        <v>0</v>
      </c>
      <c r="J523">
        <v>0.4</v>
      </c>
      <c r="K523">
        <v>1</v>
      </c>
      <c r="L523">
        <v>4</v>
      </c>
      <c r="M523">
        <v>3</v>
      </c>
      <c r="N523">
        <v>1</v>
      </c>
      <c r="O523" t="str">
        <f t="shared" si="48"/>
        <v>Male</v>
      </c>
      <c r="P523" t="str">
        <f t="shared" si="49"/>
        <v>Heart Disease</v>
      </c>
      <c r="Q523" t="str">
        <f t="shared" si="50"/>
        <v>Atypical Angina</v>
      </c>
      <c r="R523" t="str">
        <f t="shared" si="51"/>
        <v>Normal</v>
      </c>
      <c r="S523" t="str">
        <f t="shared" si="52"/>
        <v>No</v>
      </c>
      <c r="T523" t="str" cm="1">
        <f t="array" ref="T523">_xlfn.IFS(A522&lt;30,"18-29",A522&lt;40,"30-39",A522&lt;50,"40-49",A522&lt;60,"50-59",A522&gt;=60,"60+")</f>
        <v>50-59</v>
      </c>
      <c r="U523" t="str">
        <f t="shared" si="53"/>
        <v>Elevated</v>
      </c>
    </row>
    <row r="524" spans="1:21">
      <c r="A524">
        <v>67</v>
      </c>
      <c r="B524">
        <v>0</v>
      </c>
      <c r="C524">
        <v>2</v>
      </c>
      <c r="D524">
        <v>152</v>
      </c>
      <c r="E524">
        <v>277</v>
      </c>
      <c r="F524">
        <v>0</v>
      </c>
      <c r="G524">
        <v>1</v>
      </c>
      <c r="H524">
        <v>172</v>
      </c>
      <c r="I524">
        <v>0</v>
      </c>
      <c r="J524">
        <v>0</v>
      </c>
      <c r="K524">
        <v>2</v>
      </c>
      <c r="L524">
        <v>1</v>
      </c>
      <c r="M524">
        <v>2</v>
      </c>
      <c r="N524">
        <v>1</v>
      </c>
      <c r="O524" t="str">
        <f t="shared" si="48"/>
        <v>Female</v>
      </c>
      <c r="P524" t="str">
        <f t="shared" si="49"/>
        <v>Heart Disease</v>
      </c>
      <c r="Q524" t="str">
        <f t="shared" si="50"/>
        <v>Non-Anginal Pain</v>
      </c>
      <c r="R524" t="str">
        <f t="shared" si="51"/>
        <v>Normal</v>
      </c>
      <c r="S524" t="str">
        <f t="shared" si="52"/>
        <v>No</v>
      </c>
      <c r="T524" t="str" cm="1">
        <f t="array" ref="T524">_xlfn.IFS(A523&lt;30,"18-29",A523&lt;40,"30-39",A523&lt;50,"40-49",A523&lt;60,"50-59",A523&gt;=60,"60+")</f>
        <v>50-59</v>
      </c>
      <c r="U524" t="str">
        <f t="shared" si="53"/>
        <v>High (Stage 2)</v>
      </c>
    </row>
    <row r="525" spans="1:21">
      <c r="A525">
        <v>61</v>
      </c>
      <c r="B525">
        <v>1</v>
      </c>
      <c r="C525">
        <v>0</v>
      </c>
      <c r="D525">
        <v>148</v>
      </c>
      <c r="E525">
        <v>203</v>
      </c>
      <c r="F525">
        <v>0</v>
      </c>
      <c r="G525">
        <v>1</v>
      </c>
      <c r="H525">
        <v>161</v>
      </c>
      <c r="I525">
        <v>0</v>
      </c>
      <c r="J525">
        <v>0</v>
      </c>
      <c r="K525">
        <v>2</v>
      </c>
      <c r="L525">
        <v>1</v>
      </c>
      <c r="M525">
        <v>3</v>
      </c>
      <c r="N525">
        <v>0</v>
      </c>
      <c r="O525" t="str">
        <f t="shared" si="48"/>
        <v>Male</v>
      </c>
      <c r="P525" t="str">
        <f t="shared" si="49"/>
        <v>No Disease</v>
      </c>
      <c r="Q525" t="str">
        <f t="shared" si="50"/>
        <v>Typical Angina</v>
      </c>
      <c r="R525" t="str">
        <f t="shared" si="51"/>
        <v>Normal</v>
      </c>
      <c r="S525" t="str">
        <f t="shared" si="52"/>
        <v>No</v>
      </c>
      <c r="T525" t="str" cm="1">
        <f t="array" ref="T525">_xlfn.IFS(A524&lt;30,"18-29",A524&lt;40,"30-39",A524&lt;50,"40-49",A524&lt;60,"50-59",A524&gt;=60,"60+")</f>
        <v>60+</v>
      </c>
      <c r="U525" t="str">
        <f t="shared" si="53"/>
        <v>High (Stage 2)</v>
      </c>
    </row>
    <row r="526" spans="1:21">
      <c r="A526">
        <v>58</v>
      </c>
      <c r="B526">
        <v>1</v>
      </c>
      <c r="C526">
        <v>2</v>
      </c>
      <c r="D526">
        <v>112</v>
      </c>
      <c r="E526">
        <v>230</v>
      </c>
      <c r="F526">
        <v>0</v>
      </c>
      <c r="G526">
        <v>0</v>
      </c>
      <c r="H526">
        <v>165</v>
      </c>
      <c r="I526">
        <v>0</v>
      </c>
      <c r="J526">
        <v>2.5</v>
      </c>
      <c r="K526">
        <v>1</v>
      </c>
      <c r="L526">
        <v>1</v>
      </c>
      <c r="M526">
        <v>3</v>
      </c>
      <c r="N526">
        <v>0</v>
      </c>
      <c r="O526" t="str">
        <f t="shared" si="48"/>
        <v>Male</v>
      </c>
      <c r="P526" t="str">
        <f t="shared" si="49"/>
        <v>No Disease</v>
      </c>
      <c r="Q526" t="str">
        <f t="shared" si="50"/>
        <v>Non-Anginal Pain</v>
      </c>
      <c r="R526" t="str">
        <f t="shared" si="51"/>
        <v>Normal</v>
      </c>
      <c r="S526" t="str">
        <f t="shared" si="52"/>
        <v>No</v>
      </c>
      <c r="T526" t="str" cm="1">
        <f t="array" ref="T526">_xlfn.IFS(A525&lt;30,"18-29",A525&lt;40,"30-39",A525&lt;50,"40-49",A525&lt;60,"50-59",A525&gt;=60,"60+")</f>
        <v>60+</v>
      </c>
      <c r="U526" t="str">
        <f t="shared" si="53"/>
        <v>Normal</v>
      </c>
    </row>
    <row r="527" spans="1:21">
      <c r="A527">
        <v>51</v>
      </c>
      <c r="B527">
        <v>0</v>
      </c>
      <c r="C527">
        <v>2</v>
      </c>
      <c r="D527">
        <v>130</v>
      </c>
      <c r="E527">
        <v>256</v>
      </c>
      <c r="F527">
        <v>0</v>
      </c>
      <c r="G527">
        <v>0</v>
      </c>
      <c r="H527">
        <v>149</v>
      </c>
      <c r="I527">
        <v>0</v>
      </c>
      <c r="J527">
        <v>0.5</v>
      </c>
      <c r="K527">
        <v>2</v>
      </c>
      <c r="L527">
        <v>0</v>
      </c>
      <c r="M527">
        <v>2</v>
      </c>
      <c r="N527">
        <v>1</v>
      </c>
      <c r="O527" t="str">
        <f t="shared" si="48"/>
        <v>Female</v>
      </c>
      <c r="P527" t="str">
        <f t="shared" si="49"/>
        <v>Heart Disease</v>
      </c>
      <c r="Q527" t="str">
        <f t="shared" si="50"/>
        <v>Non-Anginal Pain</v>
      </c>
      <c r="R527" t="str">
        <f t="shared" si="51"/>
        <v>Normal</v>
      </c>
      <c r="S527" t="str">
        <f t="shared" si="52"/>
        <v>No</v>
      </c>
      <c r="T527" t="str" cm="1">
        <f t="array" ref="T527">_xlfn.IFS(A526&lt;30,"18-29",A526&lt;40,"30-39",A526&lt;50,"40-49",A526&lt;60,"50-59",A526&gt;=60,"60+")</f>
        <v>50-59</v>
      </c>
      <c r="U527" t="str">
        <f t="shared" si="53"/>
        <v>High (Stage 1)</v>
      </c>
    </row>
    <row r="528" spans="1:21">
      <c r="A528">
        <v>62</v>
      </c>
      <c r="B528">
        <v>0</v>
      </c>
      <c r="C528">
        <v>0</v>
      </c>
      <c r="D528">
        <v>160</v>
      </c>
      <c r="E528">
        <v>164</v>
      </c>
      <c r="F528">
        <v>0</v>
      </c>
      <c r="G528">
        <v>0</v>
      </c>
      <c r="H528">
        <v>145</v>
      </c>
      <c r="I528">
        <v>0</v>
      </c>
      <c r="J528">
        <v>6.2</v>
      </c>
      <c r="K528">
        <v>0</v>
      </c>
      <c r="L528">
        <v>3</v>
      </c>
      <c r="M528">
        <v>3</v>
      </c>
      <c r="N528">
        <v>0</v>
      </c>
      <c r="O528" t="str">
        <f t="shared" si="48"/>
        <v>Female</v>
      </c>
      <c r="P528" t="str">
        <f t="shared" si="49"/>
        <v>No Disease</v>
      </c>
      <c r="Q528" t="str">
        <f t="shared" si="50"/>
        <v>Typical Angina</v>
      </c>
      <c r="R528" t="str">
        <f t="shared" si="51"/>
        <v>Normal</v>
      </c>
      <c r="S528" t="str">
        <f t="shared" si="52"/>
        <v>No</v>
      </c>
      <c r="T528" t="str" cm="1">
        <f t="array" ref="T528">_xlfn.IFS(A527&lt;30,"18-29",A527&lt;40,"30-39",A527&lt;50,"40-49",A527&lt;60,"50-59",A527&gt;=60,"60+")</f>
        <v>50-59</v>
      </c>
      <c r="U528" t="str">
        <f t="shared" si="53"/>
        <v>High (Stage 2)</v>
      </c>
    </row>
    <row r="529" spans="1:21">
      <c r="A529">
        <v>62</v>
      </c>
      <c r="B529">
        <v>0</v>
      </c>
      <c r="C529">
        <v>0</v>
      </c>
      <c r="D529">
        <v>124</v>
      </c>
      <c r="E529">
        <v>209</v>
      </c>
      <c r="F529">
        <v>0</v>
      </c>
      <c r="G529">
        <v>1</v>
      </c>
      <c r="H529">
        <v>163</v>
      </c>
      <c r="I529">
        <v>0</v>
      </c>
      <c r="J529">
        <v>0</v>
      </c>
      <c r="K529">
        <v>2</v>
      </c>
      <c r="L529">
        <v>0</v>
      </c>
      <c r="M529">
        <v>2</v>
      </c>
      <c r="N529">
        <v>1</v>
      </c>
      <c r="O529" t="str">
        <f t="shared" si="48"/>
        <v>Female</v>
      </c>
      <c r="P529" t="str">
        <f t="shared" si="49"/>
        <v>Heart Disease</v>
      </c>
      <c r="Q529" t="str">
        <f t="shared" si="50"/>
        <v>Typical Angina</v>
      </c>
      <c r="R529" t="str">
        <f t="shared" si="51"/>
        <v>Normal</v>
      </c>
      <c r="S529" t="str">
        <f t="shared" si="52"/>
        <v>No</v>
      </c>
      <c r="T529" t="str" cm="1">
        <f t="array" ref="T529">_xlfn.IFS(A528&lt;30,"18-29",A528&lt;40,"30-39",A528&lt;50,"40-49",A528&lt;60,"50-59",A528&gt;=60,"60+")</f>
        <v>60+</v>
      </c>
      <c r="U529" t="str">
        <f t="shared" si="53"/>
        <v>Elevated</v>
      </c>
    </row>
    <row r="530" spans="1:21">
      <c r="A530">
        <v>59</v>
      </c>
      <c r="B530">
        <v>1</v>
      </c>
      <c r="C530">
        <v>3</v>
      </c>
      <c r="D530">
        <v>178</v>
      </c>
      <c r="E530">
        <v>270</v>
      </c>
      <c r="F530">
        <v>0</v>
      </c>
      <c r="G530">
        <v>0</v>
      </c>
      <c r="H530">
        <v>145</v>
      </c>
      <c r="I530">
        <v>0</v>
      </c>
      <c r="J530">
        <v>4.2</v>
      </c>
      <c r="K530">
        <v>0</v>
      </c>
      <c r="L530">
        <v>0</v>
      </c>
      <c r="M530">
        <v>3</v>
      </c>
      <c r="N530">
        <v>1</v>
      </c>
      <c r="O530" t="str">
        <f t="shared" si="48"/>
        <v>Male</v>
      </c>
      <c r="P530" t="str">
        <f t="shared" si="49"/>
        <v>Heart Disease</v>
      </c>
      <c r="Q530" t="str">
        <f t="shared" si="50"/>
        <v>Asymptomatic</v>
      </c>
      <c r="R530" t="str">
        <f t="shared" si="51"/>
        <v>Normal</v>
      </c>
      <c r="S530" t="str">
        <f t="shared" si="52"/>
        <v>No</v>
      </c>
      <c r="T530" t="str" cm="1">
        <f t="array" ref="T530">_xlfn.IFS(A529&lt;30,"18-29",A529&lt;40,"30-39",A529&lt;50,"40-49",A529&lt;60,"50-59",A529&gt;=60,"60+")</f>
        <v>60+</v>
      </c>
      <c r="U530" t="str">
        <f t="shared" si="53"/>
        <v>High (Stage 2)</v>
      </c>
    </row>
    <row r="531" spans="1:21">
      <c r="A531">
        <v>69</v>
      </c>
      <c r="B531">
        <v>1</v>
      </c>
      <c r="C531">
        <v>3</v>
      </c>
      <c r="D531">
        <v>160</v>
      </c>
      <c r="E531">
        <v>234</v>
      </c>
      <c r="F531">
        <v>1</v>
      </c>
      <c r="G531">
        <v>0</v>
      </c>
      <c r="H531">
        <v>131</v>
      </c>
      <c r="I531">
        <v>0</v>
      </c>
      <c r="J531">
        <v>0.1</v>
      </c>
      <c r="K531">
        <v>1</v>
      </c>
      <c r="L531">
        <v>1</v>
      </c>
      <c r="M531">
        <v>2</v>
      </c>
      <c r="N531">
        <v>1</v>
      </c>
      <c r="O531" t="str">
        <f t="shared" si="48"/>
        <v>Male</v>
      </c>
      <c r="P531" t="str">
        <f t="shared" si="49"/>
        <v>Heart Disease</v>
      </c>
      <c r="Q531" t="str">
        <f t="shared" si="50"/>
        <v>Asymptomatic</v>
      </c>
      <c r="R531" t="str">
        <f t="shared" si="51"/>
        <v>High</v>
      </c>
      <c r="S531" t="str">
        <f t="shared" si="52"/>
        <v>No</v>
      </c>
      <c r="T531" t="str" cm="1">
        <f t="array" ref="T531">_xlfn.IFS(A530&lt;30,"18-29",A530&lt;40,"30-39",A530&lt;50,"40-49",A530&lt;60,"50-59",A530&gt;=60,"60+")</f>
        <v>50-59</v>
      </c>
      <c r="U531" t="str">
        <f t="shared" si="53"/>
        <v>High (Stage 2)</v>
      </c>
    </row>
    <row r="532" spans="1:21">
      <c r="A532">
        <v>60</v>
      </c>
      <c r="B532">
        <v>0</v>
      </c>
      <c r="C532">
        <v>0</v>
      </c>
      <c r="D532">
        <v>150</v>
      </c>
      <c r="E532">
        <v>258</v>
      </c>
      <c r="F532">
        <v>0</v>
      </c>
      <c r="G532">
        <v>0</v>
      </c>
      <c r="H532">
        <v>157</v>
      </c>
      <c r="I532">
        <v>0</v>
      </c>
      <c r="J532">
        <v>2.6</v>
      </c>
      <c r="K532">
        <v>1</v>
      </c>
      <c r="L532">
        <v>2</v>
      </c>
      <c r="M532">
        <v>3</v>
      </c>
      <c r="N532">
        <v>0</v>
      </c>
      <c r="O532" t="str">
        <f t="shared" si="48"/>
        <v>Female</v>
      </c>
      <c r="P532" t="str">
        <f t="shared" si="49"/>
        <v>No Disease</v>
      </c>
      <c r="Q532" t="str">
        <f t="shared" si="50"/>
        <v>Typical Angina</v>
      </c>
      <c r="R532" t="str">
        <f t="shared" si="51"/>
        <v>Normal</v>
      </c>
      <c r="S532" t="str">
        <f t="shared" si="52"/>
        <v>No</v>
      </c>
      <c r="T532" t="str" cm="1">
        <f t="array" ref="T532">_xlfn.IFS(A531&lt;30,"18-29",A531&lt;40,"30-39",A531&lt;50,"40-49",A531&lt;60,"50-59",A531&gt;=60,"60+")</f>
        <v>60+</v>
      </c>
      <c r="U532" t="str">
        <f t="shared" si="53"/>
        <v>High (Stage 2)</v>
      </c>
    </row>
    <row r="533" spans="1:21">
      <c r="A533">
        <v>65</v>
      </c>
      <c r="B533">
        <v>0</v>
      </c>
      <c r="C533">
        <v>2</v>
      </c>
      <c r="D533">
        <v>155</v>
      </c>
      <c r="E533">
        <v>269</v>
      </c>
      <c r="F533">
        <v>0</v>
      </c>
      <c r="G533">
        <v>1</v>
      </c>
      <c r="H533">
        <v>148</v>
      </c>
      <c r="I533">
        <v>0</v>
      </c>
      <c r="J533">
        <v>0.8</v>
      </c>
      <c r="K533">
        <v>2</v>
      </c>
      <c r="L533">
        <v>0</v>
      </c>
      <c r="M533">
        <v>2</v>
      </c>
      <c r="N533">
        <v>1</v>
      </c>
      <c r="O533" t="str">
        <f t="shared" si="48"/>
        <v>Female</v>
      </c>
      <c r="P533" t="str">
        <f t="shared" si="49"/>
        <v>Heart Disease</v>
      </c>
      <c r="Q533" t="str">
        <f t="shared" si="50"/>
        <v>Non-Anginal Pain</v>
      </c>
      <c r="R533" t="str">
        <f t="shared" si="51"/>
        <v>Normal</v>
      </c>
      <c r="S533" t="str">
        <f t="shared" si="52"/>
        <v>No</v>
      </c>
      <c r="T533" t="str" cm="1">
        <f t="array" ref="T533">_xlfn.IFS(A532&lt;30,"18-29",A532&lt;40,"30-39",A532&lt;50,"40-49",A532&lt;60,"50-59",A532&gt;=60,"60+")</f>
        <v>60+</v>
      </c>
      <c r="U533" t="str">
        <f t="shared" si="53"/>
        <v>High (Stage 2)</v>
      </c>
    </row>
    <row r="534" spans="1:21">
      <c r="A534">
        <v>63</v>
      </c>
      <c r="B534">
        <v>0</v>
      </c>
      <c r="C534">
        <v>0</v>
      </c>
      <c r="D534">
        <v>124</v>
      </c>
      <c r="E534">
        <v>197</v>
      </c>
      <c r="F534">
        <v>0</v>
      </c>
      <c r="G534">
        <v>1</v>
      </c>
      <c r="H534">
        <v>136</v>
      </c>
      <c r="I534">
        <v>1</v>
      </c>
      <c r="J534">
        <v>0</v>
      </c>
      <c r="K534">
        <v>1</v>
      </c>
      <c r="L534">
        <v>0</v>
      </c>
      <c r="M534">
        <v>2</v>
      </c>
      <c r="N534">
        <v>0</v>
      </c>
      <c r="O534" t="str">
        <f t="shared" si="48"/>
        <v>Female</v>
      </c>
      <c r="P534" t="str">
        <f t="shared" si="49"/>
        <v>No Disease</v>
      </c>
      <c r="Q534" t="str">
        <f t="shared" si="50"/>
        <v>Typical Angina</v>
      </c>
      <c r="R534" t="str">
        <f t="shared" si="51"/>
        <v>Normal</v>
      </c>
      <c r="S534" t="str">
        <f t="shared" si="52"/>
        <v>Yes</v>
      </c>
      <c r="T534" t="str" cm="1">
        <f t="array" ref="T534">_xlfn.IFS(A533&lt;30,"18-29",A533&lt;40,"30-39",A533&lt;50,"40-49",A533&lt;60,"50-59",A533&gt;=60,"60+")</f>
        <v>60+</v>
      </c>
      <c r="U534" t="str">
        <f t="shared" si="53"/>
        <v>Elevated</v>
      </c>
    </row>
    <row r="535" spans="1:21">
      <c r="A535">
        <v>53</v>
      </c>
      <c r="B535">
        <v>0</v>
      </c>
      <c r="C535">
        <v>0</v>
      </c>
      <c r="D535">
        <v>138</v>
      </c>
      <c r="E535">
        <v>234</v>
      </c>
      <c r="F535">
        <v>0</v>
      </c>
      <c r="G535">
        <v>0</v>
      </c>
      <c r="H535">
        <v>160</v>
      </c>
      <c r="I535">
        <v>0</v>
      </c>
      <c r="J535">
        <v>0</v>
      </c>
      <c r="K535">
        <v>2</v>
      </c>
      <c r="L535">
        <v>0</v>
      </c>
      <c r="M535">
        <v>2</v>
      </c>
      <c r="N535">
        <v>1</v>
      </c>
      <c r="O535" t="str">
        <f t="shared" si="48"/>
        <v>Female</v>
      </c>
      <c r="P535" t="str">
        <f t="shared" si="49"/>
        <v>Heart Disease</v>
      </c>
      <c r="Q535" t="str">
        <f t="shared" si="50"/>
        <v>Typical Angina</v>
      </c>
      <c r="R535" t="str">
        <f t="shared" si="51"/>
        <v>Normal</v>
      </c>
      <c r="S535" t="str">
        <f t="shared" si="52"/>
        <v>No</v>
      </c>
      <c r="T535" t="str" cm="1">
        <f t="array" ref="T535">_xlfn.IFS(A534&lt;30,"18-29",A534&lt;40,"30-39",A534&lt;50,"40-49",A534&lt;60,"50-59",A534&gt;=60,"60+")</f>
        <v>60+</v>
      </c>
      <c r="U535" t="str">
        <f t="shared" si="53"/>
        <v>High (Stage 1)</v>
      </c>
    </row>
    <row r="536" spans="1:21">
      <c r="A536">
        <v>54</v>
      </c>
      <c r="B536">
        <v>0</v>
      </c>
      <c r="C536">
        <v>2</v>
      </c>
      <c r="D536">
        <v>108</v>
      </c>
      <c r="E536">
        <v>267</v>
      </c>
      <c r="F536">
        <v>0</v>
      </c>
      <c r="G536">
        <v>0</v>
      </c>
      <c r="H536">
        <v>167</v>
      </c>
      <c r="I536">
        <v>0</v>
      </c>
      <c r="J536">
        <v>0</v>
      </c>
      <c r="K536">
        <v>2</v>
      </c>
      <c r="L536">
        <v>0</v>
      </c>
      <c r="M536">
        <v>2</v>
      </c>
      <c r="N536">
        <v>1</v>
      </c>
      <c r="O536" t="str">
        <f t="shared" si="48"/>
        <v>Female</v>
      </c>
      <c r="P536" t="str">
        <f t="shared" si="49"/>
        <v>Heart Disease</v>
      </c>
      <c r="Q536" t="str">
        <f t="shared" si="50"/>
        <v>Non-Anginal Pain</v>
      </c>
      <c r="R536" t="str">
        <f t="shared" si="51"/>
        <v>Normal</v>
      </c>
      <c r="S536" t="str">
        <f t="shared" si="52"/>
        <v>No</v>
      </c>
      <c r="T536" t="str" cm="1">
        <f t="array" ref="T536">_xlfn.IFS(A535&lt;30,"18-29",A535&lt;40,"30-39",A535&lt;50,"40-49",A535&lt;60,"50-59",A535&gt;=60,"60+")</f>
        <v>50-59</v>
      </c>
      <c r="U536" t="str">
        <f t="shared" si="53"/>
        <v>Normal</v>
      </c>
    </row>
    <row r="537" spans="1:21">
      <c r="A537">
        <v>76</v>
      </c>
      <c r="B537">
        <v>0</v>
      </c>
      <c r="C537">
        <v>2</v>
      </c>
      <c r="D537">
        <v>140</v>
      </c>
      <c r="E537">
        <v>197</v>
      </c>
      <c r="F537">
        <v>0</v>
      </c>
      <c r="G537">
        <v>2</v>
      </c>
      <c r="H537">
        <v>116</v>
      </c>
      <c r="I537">
        <v>0</v>
      </c>
      <c r="J537">
        <v>1.1000000000000001</v>
      </c>
      <c r="K537">
        <v>1</v>
      </c>
      <c r="L537">
        <v>0</v>
      </c>
      <c r="M537">
        <v>2</v>
      </c>
      <c r="N537">
        <v>1</v>
      </c>
      <c r="O537" t="str">
        <f t="shared" si="48"/>
        <v>Female</v>
      </c>
      <c r="P537" t="str">
        <f t="shared" si="49"/>
        <v>Heart Disease</v>
      </c>
      <c r="Q537" t="str">
        <f t="shared" si="50"/>
        <v>Non-Anginal Pain</v>
      </c>
      <c r="R537" t="str">
        <f t="shared" si="51"/>
        <v>Normal</v>
      </c>
      <c r="S537" t="str">
        <f t="shared" si="52"/>
        <v>No</v>
      </c>
      <c r="T537" t="str" cm="1">
        <f t="array" ref="T537">_xlfn.IFS(A536&lt;30,"18-29",A536&lt;40,"30-39",A536&lt;50,"40-49",A536&lt;60,"50-59",A536&gt;=60,"60+")</f>
        <v>50-59</v>
      </c>
      <c r="U537" t="str">
        <f t="shared" si="53"/>
        <v>High (Stage 2)</v>
      </c>
    </row>
    <row r="538" spans="1:21">
      <c r="A538">
        <v>50</v>
      </c>
      <c r="B538">
        <v>0</v>
      </c>
      <c r="C538">
        <v>2</v>
      </c>
      <c r="D538">
        <v>120</v>
      </c>
      <c r="E538">
        <v>219</v>
      </c>
      <c r="F538">
        <v>0</v>
      </c>
      <c r="G538">
        <v>1</v>
      </c>
      <c r="H538">
        <v>158</v>
      </c>
      <c r="I538">
        <v>0</v>
      </c>
      <c r="J538">
        <v>1.6</v>
      </c>
      <c r="K538">
        <v>1</v>
      </c>
      <c r="L538">
        <v>0</v>
      </c>
      <c r="M538">
        <v>2</v>
      </c>
      <c r="N538">
        <v>1</v>
      </c>
      <c r="O538" t="str">
        <f t="shared" si="48"/>
        <v>Female</v>
      </c>
      <c r="P538" t="str">
        <f t="shared" si="49"/>
        <v>Heart Disease</v>
      </c>
      <c r="Q538" t="str">
        <f t="shared" si="50"/>
        <v>Non-Anginal Pain</v>
      </c>
      <c r="R538" t="str">
        <f t="shared" si="51"/>
        <v>Normal</v>
      </c>
      <c r="S538" t="str">
        <f t="shared" si="52"/>
        <v>No</v>
      </c>
      <c r="T538" t="str" cm="1">
        <f t="array" ref="T538">_xlfn.IFS(A537&lt;30,"18-29",A537&lt;40,"30-39",A537&lt;50,"40-49",A537&lt;60,"50-59",A537&gt;=60,"60+")</f>
        <v>60+</v>
      </c>
      <c r="U538" t="str">
        <f t="shared" si="53"/>
        <v>Elevated</v>
      </c>
    </row>
    <row r="539" spans="1:21">
      <c r="A539">
        <v>52</v>
      </c>
      <c r="B539">
        <v>1</v>
      </c>
      <c r="C539">
        <v>1</v>
      </c>
      <c r="D539">
        <v>120</v>
      </c>
      <c r="E539">
        <v>325</v>
      </c>
      <c r="F539">
        <v>0</v>
      </c>
      <c r="G539">
        <v>1</v>
      </c>
      <c r="H539">
        <v>172</v>
      </c>
      <c r="I539">
        <v>0</v>
      </c>
      <c r="J539">
        <v>0.2</v>
      </c>
      <c r="K539">
        <v>2</v>
      </c>
      <c r="L539">
        <v>0</v>
      </c>
      <c r="M539">
        <v>2</v>
      </c>
      <c r="N539">
        <v>1</v>
      </c>
      <c r="O539" t="str">
        <f t="shared" si="48"/>
        <v>Male</v>
      </c>
      <c r="P539" t="str">
        <f t="shared" si="49"/>
        <v>Heart Disease</v>
      </c>
      <c r="Q539" t="str">
        <f t="shared" si="50"/>
        <v>Atypical Angina</v>
      </c>
      <c r="R539" t="str">
        <f t="shared" si="51"/>
        <v>Normal</v>
      </c>
      <c r="S539" t="str">
        <f t="shared" si="52"/>
        <v>No</v>
      </c>
      <c r="T539" t="str" cm="1">
        <f t="array" ref="T539">_xlfn.IFS(A538&lt;30,"18-29",A538&lt;40,"30-39",A538&lt;50,"40-49",A538&lt;60,"50-59",A538&gt;=60,"60+")</f>
        <v>50-59</v>
      </c>
      <c r="U539" t="str">
        <f t="shared" si="53"/>
        <v>Elevated</v>
      </c>
    </row>
    <row r="540" spans="1:21">
      <c r="A540">
        <v>46</v>
      </c>
      <c r="B540">
        <v>1</v>
      </c>
      <c r="C540">
        <v>0</v>
      </c>
      <c r="D540">
        <v>120</v>
      </c>
      <c r="E540">
        <v>249</v>
      </c>
      <c r="F540">
        <v>0</v>
      </c>
      <c r="G540">
        <v>0</v>
      </c>
      <c r="H540">
        <v>144</v>
      </c>
      <c r="I540">
        <v>0</v>
      </c>
      <c r="J540">
        <v>0.8</v>
      </c>
      <c r="K540">
        <v>2</v>
      </c>
      <c r="L540">
        <v>0</v>
      </c>
      <c r="M540">
        <v>3</v>
      </c>
      <c r="N540">
        <v>0</v>
      </c>
      <c r="O540" t="str">
        <f t="shared" si="48"/>
        <v>Male</v>
      </c>
      <c r="P540" t="str">
        <f t="shared" si="49"/>
        <v>No Disease</v>
      </c>
      <c r="Q540" t="str">
        <f t="shared" si="50"/>
        <v>Typical Angina</v>
      </c>
      <c r="R540" t="str">
        <f t="shared" si="51"/>
        <v>Normal</v>
      </c>
      <c r="S540" t="str">
        <f t="shared" si="52"/>
        <v>No</v>
      </c>
      <c r="T540" t="str" cm="1">
        <f t="array" ref="T540">_xlfn.IFS(A539&lt;30,"18-29",A539&lt;40,"30-39",A539&lt;50,"40-49",A539&lt;60,"50-59",A539&gt;=60,"60+")</f>
        <v>50-59</v>
      </c>
      <c r="U540" t="str">
        <f t="shared" si="53"/>
        <v>Elevated</v>
      </c>
    </row>
    <row r="541" spans="1:21">
      <c r="A541">
        <v>64</v>
      </c>
      <c r="B541">
        <v>1</v>
      </c>
      <c r="C541">
        <v>3</v>
      </c>
      <c r="D541">
        <v>170</v>
      </c>
      <c r="E541">
        <v>227</v>
      </c>
      <c r="F541">
        <v>0</v>
      </c>
      <c r="G541">
        <v>0</v>
      </c>
      <c r="H541">
        <v>155</v>
      </c>
      <c r="I541">
        <v>0</v>
      </c>
      <c r="J541">
        <v>0.6</v>
      </c>
      <c r="K541">
        <v>1</v>
      </c>
      <c r="L541">
        <v>0</v>
      </c>
      <c r="M541">
        <v>3</v>
      </c>
      <c r="N541">
        <v>1</v>
      </c>
      <c r="O541" t="str">
        <f t="shared" si="48"/>
        <v>Male</v>
      </c>
      <c r="P541" t="str">
        <f t="shared" si="49"/>
        <v>Heart Disease</v>
      </c>
      <c r="Q541" t="str">
        <f t="shared" si="50"/>
        <v>Asymptomatic</v>
      </c>
      <c r="R541" t="str">
        <f t="shared" si="51"/>
        <v>Normal</v>
      </c>
      <c r="S541" t="str">
        <f t="shared" si="52"/>
        <v>No</v>
      </c>
      <c r="T541" t="str" cm="1">
        <f t="array" ref="T541">_xlfn.IFS(A540&lt;30,"18-29",A540&lt;40,"30-39",A540&lt;50,"40-49",A540&lt;60,"50-59",A540&gt;=60,"60+")</f>
        <v>40-49</v>
      </c>
      <c r="U541" t="str">
        <f t="shared" si="53"/>
        <v>High (Stage 2)</v>
      </c>
    </row>
    <row r="542" spans="1:21">
      <c r="A542">
        <v>58</v>
      </c>
      <c r="B542">
        <v>1</v>
      </c>
      <c r="C542">
        <v>0</v>
      </c>
      <c r="D542">
        <v>128</v>
      </c>
      <c r="E542">
        <v>259</v>
      </c>
      <c r="F542">
        <v>0</v>
      </c>
      <c r="G542">
        <v>0</v>
      </c>
      <c r="H542">
        <v>130</v>
      </c>
      <c r="I542">
        <v>1</v>
      </c>
      <c r="J542">
        <v>3</v>
      </c>
      <c r="K542">
        <v>1</v>
      </c>
      <c r="L542">
        <v>2</v>
      </c>
      <c r="M542">
        <v>3</v>
      </c>
      <c r="N542">
        <v>0</v>
      </c>
      <c r="O542" t="str">
        <f t="shared" si="48"/>
        <v>Male</v>
      </c>
      <c r="P542" t="str">
        <f t="shared" si="49"/>
        <v>No Disease</v>
      </c>
      <c r="Q542" t="str">
        <f t="shared" si="50"/>
        <v>Typical Angina</v>
      </c>
      <c r="R542" t="str">
        <f t="shared" si="51"/>
        <v>Normal</v>
      </c>
      <c r="S542" t="str">
        <f t="shared" si="52"/>
        <v>Yes</v>
      </c>
      <c r="T542" t="str" cm="1">
        <f t="array" ref="T542">_xlfn.IFS(A541&lt;30,"18-29",A541&lt;40,"30-39",A541&lt;50,"40-49",A541&lt;60,"50-59",A541&gt;=60,"60+")</f>
        <v>60+</v>
      </c>
      <c r="U542" t="str">
        <f t="shared" si="53"/>
        <v>Elevated</v>
      </c>
    </row>
    <row r="543" spans="1:21">
      <c r="A543">
        <v>44</v>
      </c>
      <c r="B543">
        <v>1</v>
      </c>
      <c r="C543">
        <v>2</v>
      </c>
      <c r="D543">
        <v>140</v>
      </c>
      <c r="E543">
        <v>235</v>
      </c>
      <c r="F543">
        <v>0</v>
      </c>
      <c r="G543">
        <v>0</v>
      </c>
      <c r="H543">
        <v>180</v>
      </c>
      <c r="I543">
        <v>0</v>
      </c>
      <c r="J543">
        <v>0</v>
      </c>
      <c r="K543">
        <v>2</v>
      </c>
      <c r="L543">
        <v>0</v>
      </c>
      <c r="M543">
        <v>2</v>
      </c>
      <c r="N543">
        <v>1</v>
      </c>
      <c r="O543" t="str">
        <f t="shared" si="48"/>
        <v>Male</v>
      </c>
      <c r="P543" t="str">
        <f t="shared" si="49"/>
        <v>Heart Disease</v>
      </c>
      <c r="Q543" t="str">
        <f t="shared" si="50"/>
        <v>Non-Anginal Pain</v>
      </c>
      <c r="R543" t="str">
        <f t="shared" si="51"/>
        <v>Normal</v>
      </c>
      <c r="S543" t="str">
        <f t="shared" si="52"/>
        <v>No</v>
      </c>
      <c r="T543" t="str" cm="1">
        <f t="array" ref="T543">_xlfn.IFS(A542&lt;30,"18-29",A542&lt;40,"30-39",A542&lt;50,"40-49",A542&lt;60,"50-59",A542&gt;=60,"60+")</f>
        <v>50-59</v>
      </c>
      <c r="U543" t="str">
        <f t="shared" si="53"/>
        <v>High (Stage 2)</v>
      </c>
    </row>
    <row r="544" spans="1:21">
      <c r="A544">
        <v>62</v>
      </c>
      <c r="B544">
        <v>0</v>
      </c>
      <c r="C544">
        <v>0</v>
      </c>
      <c r="D544">
        <v>140</v>
      </c>
      <c r="E544">
        <v>394</v>
      </c>
      <c r="F544">
        <v>0</v>
      </c>
      <c r="G544">
        <v>0</v>
      </c>
      <c r="H544">
        <v>157</v>
      </c>
      <c r="I544">
        <v>0</v>
      </c>
      <c r="J544">
        <v>1.2</v>
      </c>
      <c r="K544">
        <v>1</v>
      </c>
      <c r="L544">
        <v>0</v>
      </c>
      <c r="M544">
        <v>2</v>
      </c>
      <c r="N544">
        <v>1</v>
      </c>
      <c r="O544" t="str">
        <f t="shared" si="48"/>
        <v>Female</v>
      </c>
      <c r="P544" t="str">
        <f t="shared" si="49"/>
        <v>Heart Disease</v>
      </c>
      <c r="Q544" t="str">
        <f t="shared" si="50"/>
        <v>Typical Angina</v>
      </c>
      <c r="R544" t="str">
        <f t="shared" si="51"/>
        <v>Normal</v>
      </c>
      <c r="S544" t="str">
        <f t="shared" si="52"/>
        <v>No</v>
      </c>
      <c r="T544" t="str" cm="1">
        <f t="array" ref="T544">_xlfn.IFS(A543&lt;30,"18-29",A543&lt;40,"30-39",A543&lt;50,"40-49",A543&lt;60,"50-59",A543&gt;=60,"60+")</f>
        <v>40-49</v>
      </c>
      <c r="U544" t="str">
        <f t="shared" si="53"/>
        <v>High (Stage 2)</v>
      </c>
    </row>
    <row r="545" spans="1:21">
      <c r="A545">
        <v>59</v>
      </c>
      <c r="B545">
        <v>1</v>
      </c>
      <c r="C545">
        <v>3</v>
      </c>
      <c r="D545">
        <v>134</v>
      </c>
      <c r="E545">
        <v>204</v>
      </c>
      <c r="F545">
        <v>0</v>
      </c>
      <c r="G545">
        <v>1</v>
      </c>
      <c r="H545">
        <v>162</v>
      </c>
      <c r="I545">
        <v>0</v>
      </c>
      <c r="J545">
        <v>0.8</v>
      </c>
      <c r="K545">
        <v>2</v>
      </c>
      <c r="L545">
        <v>2</v>
      </c>
      <c r="M545">
        <v>2</v>
      </c>
      <c r="N545">
        <v>0</v>
      </c>
      <c r="O545" t="str">
        <f t="shared" si="48"/>
        <v>Male</v>
      </c>
      <c r="P545" t="str">
        <f t="shared" si="49"/>
        <v>No Disease</v>
      </c>
      <c r="Q545" t="str">
        <f t="shared" si="50"/>
        <v>Asymptomatic</v>
      </c>
      <c r="R545" t="str">
        <f t="shared" si="51"/>
        <v>Normal</v>
      </c>
      <c r="S545" t="str">
        <f t="shared" si="52"/>
        <v>No</v>
      </c>
      <c r="T545" t="str" cm="1">
        <f t="array" ref="T545">_xlfn.IFS(A544&lt;30,"18-29",A544&lt;40,"30-39",A544&lt;50,"40-49",A544&lt;60,"50-59",A544&gt;=60,"60+")</f>
        <v>60+</v>
      </c>
      <c r="U545" t="str">
        <f t="shared" si="53"/>
        <v>High (Stage 1)</v>
      </c>
    </row>
    <row r="546" spans="1:21">
      <c r="A546">
        <v>54</v>
      </c>
      <c r="B546">
        <v>1</v>
      </c>
      <c r="C546">
        <v>2</v>
      </c>
      <c r="D546">
        <v>125</v>
      </c>
      <c r="E546">
        <v>273</v>
      </c>
      <c r="F546">
        <v>0</v>
      </c>
      <c r="G546">
        <v>0</v>
      </c>
      <c r="H546">
        <v>152</v>
      </c>
      <c r="I546">
        <v>0</v>
      </c>
      <c r="J546">
        <v>0.5</v>
      </c>
      <c r="K546">
        <v>0</v>
      </c>
      <c r="L546">
        <v>1</v>
      </c>
      <c r="M546">
        <v>2</v>
      </c>
      <c r="N546">
        <v>1</v>
      </c>
      <c r="O546" t="str">
        <f t="shared" si="48"/>
        <v>Male</v>
      </c>
      <c r="P546" t="str">
        <f t="shared" si="49"/>
        <v>Heart Disease</v>
      </c>
      <c r="Q546" t="str">
        <f t="shared" si="50"/>
        <v>Non-Anginal Pain</v>
      </c>
      <c r="R546" t="str">
        <f t="shared" si="51"/>
        <v>Normal</v>
      </c>
      <c r="S546" t="str">
        <f t="shared" si="52"/>
        <v>No</v>
      </c>
      <c r="T546" t="str" cm="1">
        <f t="array" ref="T546">_xlfn.IFS(A545&lt;30,"18-29",A545&lt;40,"30-39",A545&lt;50,"40-49",A545&lt;60,"50-59",A545&gt;=60,"60+")</f>
        <v>50-59</v>
      </c>
      <c r="U546" t="str">
        <f t="shared" si="53"/>
        <v>Elevated</v>
      </c>
    </row>
    <row r="547" spans="1:21">
      <c r="A547">
        <v>48</v>
      </c>
      <c r="B547">
        <v>1</v>
      </c>
      <c r="C547">
        <v>1</v>
      </c>
      <c r="D547">
        <v>110</v>
      </c>
      <c r="E547">
        <v>229</v>
      </c>
      <c r="F547">
        <v>0</v>
      </c>
      <c r="G547">
        <v>1</v>
      </c>
      <c r="H547">
        <v>168</v>
      </c>
      <c r="I547">
        <v>0</v>
      </c>
      <c r="J547">
        <v>1</v>
      </c>
      <c r="K547">
        <v>0</v>
      </c>
      <c r="L547">
        <v>0</v>
      </c>
      <c r="M547">
        <v>3</v>
      </c>
      <c r="N547">
        <v>0</v>
      </c>
      <c r="O547" t="str">
        <f t="shared" si="48"/>
        <v>Male</v>
      </c>
      <c r="P547" t="str">
        <f t="shared" si="49"/>
        <v>No Disease</v>
      </c>
      <c r="Q547" t="str">
        <f t="shared" si="50"/>
        <v>Atypical Angina</v>
      </c>
      <c r="R547" t="str">
        <f t="shared" si="51"/>
        <v>Normal</v>
      </c>
      <c r="S547" t="str">
        <f t="shared" si="52"/>
        <v>No</v>
      </c>
      <c r="T547" t="str" cm="1">
        <f t="array" ref="T547">_xlfn.IFS(A546&lt;30,"18-29",A546&lt;40,"30-39",A546&lt;50,"40-49",A546&lt;60,"50-59",A546&gt;=60,"60+")</f>
        <v>50-59</v>
      </c>
      <c r="U547" t="str">
        <f t="shared" si="53"/>
        <v>Normal</v>
      </c>
    </row>
    <row r="548" spans="1:21">
      <c r="A548">
        <v>70</v>
      </c>
      <c r="B548">
        <v>1</v>
      </c>
      <c r="C548">
        <v>0</v>
      </c>
      <c r="D548">
        <v>130</v>
      </c>
      <c r="E548">
        <v>322</v>
      </c>
      <c r="F548">
        <v>0</v>
      </c>
      <c r="G548">
        <v>0</v>
      </c>
      <c r="H548">
        <v>109</v>
      </c>
      <c r="I548">
        <v>0</v>
      </c>
      <c r="J548">
        <v>2.4</v>
      </c>
      <c r="K548">
        <v>1</v>
      </c>
      <c r="L548">
        <v>3</v>
      </c>
      <c r="M548">
        <v>2</v>
      </c>
      <c r="N548">
        <v>0</v>
      </c>
      <c r="O548" t="str">
        <f t="shared" si="48"/>
        <v>Male</v>
      </c>
      <c r="P548" t="str">
        <f t="shared" si="49"/>
        <v>No Disease</v>
      </c>
      <c r="Q548" t="str">
        <f t="shared" si="50"/>
        <v>Typical Angina</v>
      </c>
      <c r="R548" t="str">
        <f t="shared" si="51"/>
        <v>Normal</v>
      </c>
      <c r="S548" t="str">
        <f t="shared" si="52"/>
        <v>No</v>
      </c>
      <c r="T548" t="str" cm="1">
        <f t="array" ref="T548">_xlfn.IFS(A547&lt;30,"18-29",A547&lt;40,"30-39",A547&lt;50,"40-49",A547&lt;60,"50-59",A547&gt;=60,"60+")</f>
        <v>40-49</v>
      </c>
      <c r="U548" t="str">
        <f t="shared" si="53"/>
        <v>High (Stage 1)</v>
      </c>
    </row>
    <row r="549" spans="1:21">
      <c r="A549">
        <v>67</v>
      </c>
      <c r="B549">
        <v>0</v>
      </c>
      <c r="C549">
        <v>0</v>
      </c>
      <c r="D549">
        <v>106</v>
      </c>
      <c r="E549">
        <v>223</v>
      </c>
      <c r="F549">
        <v>0</v>
      </c>
      <c r="G549">
        <v>1</v>
      </c>
      <c r="H549">
        <v>142</v>
      </c>
      <c r="I549">
        <v>0</v>
      </c>
      <c r="J549">
        <v>0.3</v>
      </c>
      <c r="K549">
        <v>2</v>
      </c>
      <c r="L549">
        <v>2</v>
      </c>
      <c r="M549">
        <v>2</v>
      </c>
      <c r="N549">
        <v>1</v>
      </c>
      <c r="O549" t="str">
        <f t="shared" si="48"/>
        <v>Female</v>
      </c>
      <c r="P549" t="str">
        <f t="shared" si="49"/>
        <v>Heart Disease</v>
      </c>
      <c r="Q549" t="str">
        <f t="shared" si="50"/>
        <v>Typical Angina</v>
      </c>
      <c r="R549" t="str">
        <f t="shared" si="51"/>
        <v>Normal</v>
      </c>
      <c r="S549" t="str">
        <f t="shared" si="52"/>
        <v>No</v>
      </c>
      <c r="T549" t="str" cm="1">
        <f t="array" ref="T549">_xlfn.IFS(A548&lt;30,"18-29",A548&lt;40,"30-39",A548&lt;50,"40-49",A548&lt;60,"50-59",A548&gt;=60,"60+")</f>
        <v>60+</v>
      </c>
      <c r="U549" t="str">
        <f t="shared" si="53"/>
        <v>Normal</v>
      </c>
    </row>
    <row r="550" spans="1:21">
      <c r="A550">
        <v>51</v>
      </c>
      <c r="B550">
        <v>0</v>
      </c>
      <c r="C550">
        <v>2</v>
      </c>
      <c r="D550">
        <v>120</v>
      </c>
      <c r="E550">
        <v>295</v>
      </c>
      <c r="F550">
        <v>0</v>
      </c>
      <c r="G550">
        <v>0</v>
      </c>
      <c r="H550">
        <v>157</v>
      </c>
      <c r="I550">
        <v>0</v>
      </c>
      <c r="J550">
        <v>0.6</v>
      </c>
      <c r="K550">
        <v>2</v>
      </c>
      <c r="L550">
        <v>0</v>
      </c>
      <c r="M550">
        <v>2</v>
      </c>
      <c r="N550">
        <v>1</v>
      </c>
      <c r="O550" t="str">
        <f t="shared" si="48"/>
        <v>Female</v>
      </c>
      <c r="P550" t="str">
        <f t="shared" si="49"/>
        <v>Heart Disease</v>
      </c>
      <c r="Q550" t="str">
        <f t="shared" si="50"/>
        <v>Non-Anginal Pain</v>
      </c>
      <c r="R550" t="str">
        <f t="shared" si="51"/>
        <v>Normal</v>
      </c>
      <c r="S550" t="str">
        <f t="shared" si="52"/>
        <v>No</v>
      </c>
      <c r="T550" t="str" cm="1">
        <f t="array" ref="T550">_xlfn.IFS(A549&lt;30,"18-29",A549&lt;40,"30-39",A549&lt;50,"40-49",A549&lt;60,"50-59",A549&gt;=60,"60+")</f>
        <v>60+</v>
      </c>
      <c r="U550" t="str">
        <f t="shared" si="53"/>
        <v>Elevated</v>
      </c>
    </row>
    <row r="551" spans="1:21">
      <c r="A551">
        <v>68</v>
      </c>
      <c r="B551">
        <v>1</v>
      </c>
      <c r="C551">
        <v>2</v>
      </c>
      <c r="D551">
        <v>118</v>
      </c>
      <c r="E551">
        <v>277</v>
      </c>
      <c r="F551">
        <v>0</v>
      </c>
      <c r="G551">
        <v>1</v>
      </c>
      <c r="H551">
        <v>151</v>
      </c>
      <c r="I551">
        <v>0</v>
      </c>
      <c r="J551">
        <v>1</v>
      </c>
      <c r="K551">
        <v>2</v>
      </c>
      <c r="L551">
        <v>1</v>
      </c>
      <c r="M551">
        <v>3</v>
      </c>
      <c r="N551">
        <v>1</v>
      </c>
      <c r="O551" t="str">
        <f t="shared" si="48"/>
        <v>Male</v>
      </c>
      <c r="P551" t="str">
        <f t="shared" si="49"/>
        <v>Heart Disease</v>
      </c>
      <c r="Q551" t="str">
        <f t="shared" si="50"/>
        <v>Non-Anginal Pain</v>
      </c>
      <c r="R551" t="str">
        <f t="shared" si="51"/>
        <v>Normal</v>
      </c>
      <c r="S551" t="str">
        <f t="shared" si="52"/>
        <v>No</v>
      </c>
      <c r="T551" t="str" cm="1">
        <f t="array" ref="T551">_xlfn.IFS(A550&lt;30,"18-29",A550&lt;40,"30-39",A550&lt;50,"40-49",A550&lt;60,"50-59",A550&gt;=60,"60+")</f>
        <v>50-59</v>
      </c>
      <c r="U551" t="str">
        <f t="shared" si="53"/>
        <v>Normal</v>
      </c>
    </row>
    <row r="552" spans="1:21">
      <c r="A552">
        <v>69</v>
      </c>
      <c r="B552">
        <v>1</v>
      </c>
      <c r="C552">
        <v>2</v>
      </c>
      <c r="D552">
        <v>140</v>
      </c>
      <c r="E552">
        <v>254</v>
      </c>
      <c r="F552">
        <v>0</v>
      </c>
      <c r="G552">
        <v>0</v>
      </c>
      <c r="H552">
        <v>146</v>
      </c>
      <c r="I552">
        <v>0</v>
      </c>
      <c r="J552">
        <v>2</v>
      </c>
      <c r="K552">
        <v>1</v>
      </c>
      <c r="L552">
        <v>3</v>
      </c>
      <c r="M552">
        <v>3</v>
      </c>
      <c r="N552">
        <v>0</v>
      </c>
      <c r="O552" t="str">
        <f t="shared" si="48"/>
        <v>Male</v>
      </c>
      <c r="P552" t="str">
        <f t="shared" si="49"/>
        <v>No Disease</v>
      </c>
      <c r="Q552" t="str">
        <f t="shared" si="50"/>
        <v>Non-Anginal Pain</v>
      </c>
      <c r="R552" t="str">
        <f t="shared" si="51"/>
        <v>Normal</v>
      </c>
      <c r="S552" t="str">
        <f t="shared" si="52"/>
        <v>No</v>
      </c>
      <c r="T552" t="str" cm="1">
        <f t="array" ref="T552">_xlfn.IFS(A551&lt;30,"18-29",A551&lt;40,"30-39",A551&lt;50,"40-49",A551&lt;60,"50-59",A551&gt;=60,"60+")</f>
        <v>60+</v>
      </c>
      <c r="U552" t="str">
        <f t="shared" si="53"/>
        <v>High (Stage 2)</v>
      </c>
    </row>
    <row r="553" spans="1:21">
      <c r="A553">
        <v>54</v>
      </c>
      <c r="B553">
        <v>1</v>
      </c>
      <c r="C553">
        <v>0</v>
      </c>
      <c r="D553">
        <v>122</v>
      </c>
      <c r="E553">
        <v>286</v>
      </c>
      <c r="F553">
        <v>0</v>
      </c>
      <c r="G553">
        <v>0</v>
      </c>
      <c r="H553">
        <v>116</v>
      </c>
      <c r="I553">
        <v>1</v>
      </c>
      <c r="J553">
        <v>3.2</v>
      </c>
      <c r="K553">
        <v>1</v>
      </c>
      <c r="L553">
        <v>2</v>
      </c>
      <c r="M553">
        <v>2</v>
      </c>
      <c r="N553">
        <v>0</v>
      </c>
      <c r="O553" t="str">
        <f t="shared" si="48"/>
        <v>Male</v>
      </c>
      <c r="P553" t="str">
        <f t="shared" si="49"/>
        <v>No Disease</v>
      </c>
      <c r="Q553" t="str">
        <f t="shared" si="50"/>
        <v>Typical Angina</v>
      </c>
      <c r="R553" t="str">
        <f t="shared" si="51"/>
        <v>Normal</v>
      </c>
      <c r="S553" t="str">
        <f t="shared" si="52"/>
        <v>Yes</v>
      </c>
      <c r="T553" t="str" cm="1">
        <f t="array" ref="T553">_xlfn.IFS(A552&lt;30,"18-29",A552&lt;40,"30-39",A552&lt;50,"40-49",A552&lt;60,"50-59",A552&gt;=60,"60+")</f>
        <v>60+</v>
      </c>
      <c r="U553" t="str">
        <f t="shared" si="53"/>
        <v>Elevated</v>
      </c>
    </row>
    <row r="554" spans="1:21">
      <c r="A554">
        <v>43</v>
      </c>
      <c r="B554">
        <v>0</v>
      </c>
      <c r="C554">
        <v>0</v>
      </c>
      <c r="D554">
        <v>132</v>
      </c>
      <c r="E554">
        <v>341</v>
      </c>
      <c r="F554">
        <v>1</v>
      </c>
      <c r="G554">
        <v>0</v>
      </c>
      <c r="H554">
        <v>136</v>
      </c>
      <c r="I554">
        <v>1</v>
      </c>
      <c r="J554">
        <v>3</v>
      </c>
      <c r="K554">
        <v>1</v>
      </c>
      <c r="L554">
        <v>0</v>
      </c>
      <c r="M554">
        <v>3</v>
      </c>
      <c r="N554">
        <v>0</v>
      </c>
      <c r="O554" t="str">
        <f t="shared" si="48"/>
        <v>Female</v>
      </c>
      <c r="P554" t="str">
        <f t="shared" si="49"/>
        <v>No Disease</v>
      </c>
      <c r="Q554" t="str">
        <f t="shared" si="50"/>
        <v>Typical Angina</v>
      </c>
      <c r="R554" t="str">
        <f t="shared" si="51"/>
        <v>High</v>
      </c>
      <c r="S554" t="str">
        <f t="shared" si="52"/>
        <v>Yes</v>
      </c>
      <c r="T554" t="str" cm="1">
        <f t="array" ref="T554">_xlfn.IFS(A553&lt;30,"18-29",A553&lt;40,"30-39",A553&lt;50,"40-49",A553&lt;60,"50-59",A553&gt;=60,"60+")</f>
        <v>50-59</v>
      </c>
      <c r="U554" t="str">
        <f t="shared" si="53"/>
        <v>High (Stage 1)</v>
      </c>
    </row>
    <row r="555" spans="1:21">
      <c r="A555">
        <v>53</v>
      </c>
      <c r="B555">
        <v>1</v>
      </c>
      <c r="C555">
        <v>2</v>
      </c>
      <c r="D555">
        <v>130</v>
      </c>
      <c r="E555">
        <v>197</v>
      </c>
      <c r="F555">
        <v>1</v>
      </c>
      <c r="G555">
        <v>0</v>
      </c>
      <c r="H555">
        <v>152</v>
      </c>
      <c r="I555">
        <v>0</v>
      </c>
      <c r="J555">
        <v>1.2</v>
      </c>
      <c r="K555">
        <v>0</v>
      </c>
      <c r="L555">
        <v>0</v>
      </c>
      <c r="M555">
        <v>2</v>
      </c>
      <c r="N555">
        <v>1</v>
      </c>
      <c r="O555" t="str">
        <f t="shared" si="48"/>
        <v>Male</v>
      </c>
      <c r="P555" t="str">
        <f t="shared" si="49"/>
        <v>Heart Disease</v>
      </c>
      <c r="Q555" t="str">
        <f t="shared" si="50"/>
        <v>Non-Anginal Pain</v>
      </c>
      <c r="R555" t="str">
        <f t="shared" si="51"/>
        <v>High</v>
      </c>
      <c r="S555" t="str">
        <f t="shared" si="52"/>
        <v>No</v>
      </c>
      <c r="T555" t="str" cm="1">
        <f t="array" ref="T555">_xlfn.IFS(A554&lt;30,"18-29",A554&lt;40,"30-39",A554&lt;50,"40-49",A554&lt;60,"50-59",A554&gt;=60,"60+")</f>
        <v>40-49</v>
      </c>
      <c r="U555" t="str">
        <f t="shared" si="53"/>
        <v>High (Stage 1)</v>
      </c>
    </row>
    <row r="556" spans="1:21">
      <c r="A556">
        <v>58</v>
      </c>
      <c r="B556">
        <v>1</v>
      </c>
      <c r="C556">
        <v>0</v>
      </c>
      <c r="D556">
        <v>100</v>
      </c>
      <c r="E556">
        <v>234</v>
      </c>
      <c r="F556">
        <v>0</v>
      </c>
      <c r="G556">
        <v>1</v>
      </c>
      <c r="H556">
        <v>156</v>
      </c>
      <c r="I556">
        <v>0</v>
      </c>
      <c r="J556">
        <v>0.1</v>
      </c>
      <c r="K556">
        <v>2</v>
      </c>
      <c r="L556">
        <v>1</v>
      </c>
      <c r="M556">
        <v>3</v>
      </c>
      <c r="N556">
        <v>0</v>
      </c>
      <c r="O556" t="str">
        <f t="shared" si="48"/>
        <v>Male</v>
      </c>
      <c r="P556" t="str">
        <f t="shared" si="49"/>
        <v>No Disease</v>
      </c>
      <c r="Q556" t="str">
        <f t="shared" si="50"/>
        <v>Typical Angina</v>
      </c>
      <c r="R556" t="str">
        <f t="shared" si="51"/>
        <v>Normal</v>
      </c>
      <c r="S556" t="str">
        <f t="shared" si="52"/>
        <v>No</v>
      </c>
      <c r="T556" t="str" cm="1">
        <f t="array" ref="T556">_xlfn.IFS(A555&lt;30,"18-29",A555&lt;40,"30-39",A555&lt;50,"40-49",A555&lt;60,"50-59",A555&gt;=60,"60+")</f>
        <v>50-59</v>
      </c>
      <c r="U556" t="str">
        <f t="shared" si="53"/>
        <v>Normal</v>
      </c>
    </row>
    <row r="557" spans="1:21">
      <c r="A557">
        <v>67</v>
      </c>
      <c r="B557">
        <v>1</v>
      </c>
      <c r="C557">
        <v>0</v>
      </c>
      <c r="D557">
        <v>125</v>
      </c>
      <c r="E557">
        <v>254</v>
      </c>
      <c r="F557">
        <v>1</v>
      </c>
      <c r="G557">
        <v>1</v>
      </c>
      <c r="H557">
        <v>163</v>
      </c>
      <c r="I557">
        <v>0</v>
      </c>
      <c r="J557">
        <v>0.2</v>
      </c>
      <c r="K557">
        <v>1</v>
      </c>
      <c r="L557">
        <v>2</v>
      </c>
      <c r="M557">
        <v>3</v>
      </c>
      <c r="N557">
        <v>0</v>
      </c>
      <c r="O557" t="str">
        <f t="shared" si="48"/>
        <v>Male</v>
      </c>
      <c r="P557" t="str">
        <f t="shared" si="49"/>
        <v>No Disease</v>
      </c>
      <c r="Q557" t="str">
        <f t="shared" si="50"/>
        <v>Typical Angina</v>
      </c>
      <c r="R557" t="str">
        <f t="shared" si="51"/>
        <v>High</v>
      </c>
      <c r="S557" t="str">
        <f t="shared" si="52"/>
        <v>No</v>
      </c>
      <c r="T557" t="str" cm="1">
        <f t="array" ref="T557">_xlfn.IFS(A556&lt;30,"18-29",A556&lt;40,"30-39",A556&lt;50,"40-49",A556&lt;60,"50-59",A556&gt;=60,"60+")</f>
        <v>50-59</v>
      </c>
      <c r="U557" t="str">
        <f t="shared" si="53"/>
        <v>Elevated</v>
      </c>
    </row>
    <row r="558" spans="1:21">
      <c r="A558">
        <v>59</v>
      </c>
      <c r="B558">
        <v>1</v>
      </c>
      <c r="C558">
        <v>0</v>
      </c>
      <c r="D558">
        <v>140</v>
      </c>
      <c r="E558">
        <v>177</v>
      </c>
      <c r="F558">
        <v>0</v>
      </c>
      <c r="G558">
        <v>1</v>
      </c>
      <c r="H558">
        <v>162</v>
      </c>
      <c r="I558">
        <v>1</v>
      </c>
      <c r="J558">
        <v>0</v>
      </c>
      <c r="K558">
        <v>2</v>
      </c>
      <c r="L558">
        <v>1</v>
      </c>
      <c r="M558">
        <v>3</v>
      </c>
      <c r="N558">
        <v>0</v>
      </c>
      <c r="O558" t="str">
        <f t="shared" si="48"/>
        <v>Male</v>
      </c>
      <c r="P558" t="str">
        <f t="shared" si="49"/>
        <v>No Disease</v>
      </c>
      <c r="Q558" t="str">
        <f t="shared" si="50"/>
        <v>Typical Angina</v>
      </c>
      <c r="R558" t="str">
        <f t="shared" si="51"/>
        <v>Normal</v>
      </c>
      <c r="S558" t="str">
        <f t="shared" si="52"/>
        <v>Yes</v>
      </c>
      <c r="T558" t="str" cm="1">
        <f t="array" ref="T558">_xlfn.IFS(A557&lt;30,"18-29",A557&lt;40,"30-39",A557&lt;50,"40-49",A557&lt;60,"50-59",A557&gt;=60,"60+")</f>
        <v>60+</v>
      </c>
      <c r="U558" t="str">
        <f t="shared" si="53"/>
        <v>High (Stage 2)</v>
      </c>
    </row>
    <row r="559" spans="1:21">
      <c r="A559">
        <v>48</v>
      </c>
      <c r="B559">
        <v>1</v>
      </c>
      <c r="C559">
        <v>0</v>
      </c>
      <c r="D559">
        <v>122</v>
      </c>
      <c r="E559">
        <v>222</v>
      </c>
      <c r="F559">
        <v>0</v>
      </c>
      <c r="G559">
        <v>0</v>
      </c>
      <c r="H559">
        <v>186</v>
      </c>
      <c r="I559">
        <v>0</v>
      </c>
      <c r="J559">
        <v>0</v>
      </c>
      <c r="K559">
        <v>2</v>
      </c>
      <c r="L559">
        <v>0</v>
      </c>
      <c r="M559">
        <v>2</v>
      </c>
      <c r="N559">
        <v>1</v>
      </c>
      <c r="O559" t="str">
        <f t="shared" si="48"/>
        <v>Male</v>
      </c>
      <c r="P559" t="str">
        <f t="shared" si="49"/>
        <v>Heart Disease</v>
      </c>
      <c r="Q559" t="str">
        <f t="shared" si="50"/>
        <v>Typical Angina</v>
      </c>
      <c r="R559" t="str">
        <f t="shared" si="51"/>
        <v>Normal</v>
      </c>
      <c r="S559" t="str">
        <f t="shared" si="52"/>
        <v>No</v>
      </c>
      <c r="T559" t="str" cm="1">
        <f t="array" ref="T559">_xlfn.IFS(A558&lt;30,"18-29",A558&lt;40,"30-39",A558&lt;50,"40-49",A558&lt;60,"50-59",A558&gt;=60,"60+")</f>
        <v>50-59</v>
      </c>
      <c r="U559" t="str">
        <f t="shared" si="53"/>
        <v>Elevated</v>
      </c>
    </row>
    <row r="560" spans="1:21">
      <c r="A560">
        <v>39</v>
      </c>
      <c r="B560">
        <v>0</v>
      </c>
      <c r="C560">
        <v>2</v>
      </c>
      <c r="D560">
        <v>94</v>
      </c>
      <c r="E560">
        <v>199</v>
      </c>
      <c r="F560">
        <v>0</v>
      </c>
      <c r="G560">
        <v>1</v>
      </c>
      <c r="H560">
        <v>179</v>
      </c>
      <c r="I560">
        <v>0</v>
      </c>
      <c r="J560">
        <v>0</v>
      </c>
      <c r="K560">
        <v>2</v>
      </c>
      <c r="L560">
        <v>0</v>
      </c>
      <c r="M560">
        <v>2</v>
      </c>
      <c r="N560">
        <v>1</v>
      </c>
      <c r="O560" t="str">
        <f t="shared" si="48"/>
        <v>Female</v>
      </c>
      <c r="P560" t="str">
        <f t="shared" si="49"/>
        <v>Heart Disease</v>
      </c>
      <c r="Q560" t="str">
        <f t="shared" si="50"/>
        <v>Non-Anginal Pain</v>
      </c>
      <c r="R560" t="str">
        <f t="shared" si="51"/>
        <v>Normal</v>
      </c>
      <c r="S560" t="str">
        <f t="shared" si="52"/>
        <v>No</v>
      </c>
      <c r="T560" t="str" cm="1">
        <f t="array" ref="T560">_xlfn.IFS(A559&lt;30,"18-29",A559&lt;40,"30-39",A559&lt;50,"40-49",A559&lt;60,"50-59",A559&gt;=60,"60+")</f>
        <v>40-49</v>
      </c>
      <c r="U560" t="str">
        <f t="shared" si="53"/>
        <v>Normal</v>
      </c>
    </row>
    <row r="561" spans="1:21">
      <c r="A561">
        <v>67</v>
      </c>
      <c r="B561">
        <v>1</v>
      </c>
      <c r="C561">
        <v>0</v>
      </c>
      <c r="D561">
        <v>120</v>
      </c>
      <c r="E561">
        <v>237</v>
      </c>
      <c r="F561">
        <v>0</v>
      </c>
      <c r="G561">
        <v>1</v>
      </c>
      <c r="H561">
        <v>71</v>
      </c>
      <c r="I561">
        <v>0</v>
      </c>
      <c r="J561">
        <v>1</v>
      </c>
      <c r="K561">
        <v>1</v>
      </c>
      <c r="L561">
        <v>0</v>
      </c>
      <c r="M561">
        <v>2</v>
      </c>
      <c r="N561">
        <v>0</v>
      </c>
      <c r="O561" t="str">
        <f t="shared" si="48"/>
        <v>Male</v>
      </c>
      <c r="P561" t="str">
        <f t="shared" si="49"/>
        <v>No Disease</v>
      </c>
      <c r="Q561" t="str">
        <f t="shared" si="50"/>
        <v>Typical Angina</v>
      </c>
      <c r="R561" t="str">
        <f t="shared" si="51"/>
        <v>Normal</v>
      </c>
      <c r="S561" t="str">
        <f t="shared" si="52"/>
        <v>No</v>
      </c>
      <c r="T561" t="str" cm="1">
        <f t="array" ref="T561">_xlfn.IFS(A560&lt;30,"18-29",A560&lt;40,"30-39",A560&lt;50,"40-49",A560&lt;60,"50-59",A560&gt;=60,"60+")</f>
        <v>30-39</v>
      </c>
      <c r="U561" t="str">
        <f t="shared" si="53"/>
        <v>Elevated</v>
      </c>
    </row>
    <row r="562" spans="1:21">
      <c r="A562">
        <v>58</v>
      </c>
      <c r="B562">
        <v>0</v>
      </c>
      <c r="C562">
        <v>0</v>
      </c>
      <c r="D562">
        <v>130</v>
      </c>
      <c r="E562">
        <v>197</v>
      </c>
      <c r="F562">
        <v>0</v>
      </c>
      <c r="G562">
        <v>1</v>
      </c>
      <c r="H562">
        <v>131</v>
      </c>
      <c r="I562">
        <v>0</v>
      </c>
      <c r="J562">
        <v>0.6</v>
      </c>
      <c r="K562">
        <v>1</v>
      </c>
      <c r="L562">
        <v>0</v>
      </c>
      <c r="M562">
        <v>2</v>
      </c>
      <c r="N562">
        <v>1</v>
      </c>
      <c r="O562" t="str">
        <f t="shared" si="48"/>
        <v>Female</v>
      </c>
      <c r="P562" t="str">
        <f t="shared" si="49"/>
        <v>Heart Disease</v>
      </c>
      <c r="Q562" t="str">
        <f t="shared" si="50"/>
        <v>Typical Angina</v>
      </c>
      <c r="R562" t="str">
        <f t="shared" si="51"/>
        <v>Normal</v>
      </c>
      <c r="S562" t="str">
        <f t="shared" si="52"/>
        <v>No</v>
      </c>
      <c r="T562" t="str" cm="1">
        <f t="array" ref="T562">_xlfn.IFS(A561&lt;30,"18-29",A561&lt;40,"30-39",A561&lt;50,"40-49",A561&lt;60,"50-59",A561&gt;=60,"60+")</f>
        <v>60+</v>
      </c>
      <c r="U562" t="str">
        <f t="shared" si="53"/>
        <v>High (Stage 1)</v>
      </c>
    </row>
    <row r="563" spans="1:21">
      <c r="A563">
        <v>65</v>
      </c>
      <c r="B563">
        <v>0</v>
      </c>
      <c r="C563">
        <v>2</v>
      </c>
      <c r="D563">
        <v>155</v>
      </c>
      <c r="E563">
        <v>269</v>
      </c>
      <c r="F563">
        <v>0</v>
      </c>
      <c r="G563">
        <v>1</v>
      </c>
      <c r="H563">
        <v>148</v>
      </c>
      <c r="I563">
        <v>0</v>
      </c>
      <c r="J563">
        <v>0.8</v>
      </c>
      <c r="K563">
        <v>2</v>
      </c>
      <c r="L563">
        <v>0</v>
      </c>
      <c r="M563">
        <v>2</v>
      </c>
      <c r="N563">
        <v>1</v>
      </c>
      <c r="O563" t="str">
        <f t="shared" si="48"/>
        <v>Female</v>
      </c>
      <c r="P563" t="str">
        <f t="shared" si="49"/>
        <v>Heart Disease</v>
      </c>
      <c r="Q563" t="str">
        <f t="shared" si="50"/>
        <v>Non-Anginal Pain</v>
      </c>
      <c r="R563" t="str">
        <f t="shared" si="51"/>
        <v>Normal</v>
      </c>
      <c r="S563" t="str">
        <f t="shared" si="52"/>
        <v>No</v>
      </c>
      <c r="T563" t="str" cm="1">
        <f t="array" ref="T563">_xlfn.IFS(A562&lt;30,"18-29",A562&lt;40,"30-39",A562&lt;50,"40-49",A562&lt;60,"50-59",A562&gt;=60,"60+")</f>
        <v>50-59</v>
      </c>
      <c r="U563" t="str">
        <f t="shared" si="53"/>
        <v>High (Stage 2)</v>
      </c>
    </row>
    <row r="564" spans="1:21">
      <c r="A564">
        <v>42</v>
      </c>
      <c r="B564">
        <v>0</v>
      </c>
      <c r="C564">
        <v>2</v>
      </c>
      <c r="D564">
        <v>120</v>
      </c>
      <c r="E564">
        <v>209</v>
      </c>
      <c r="F564">
        <v>0</v>
      </c>
      <c r="G564">
        <v>1</v>
      </c>
      <c r="H564">
        <v>173</v>
      </c>
      <c r="I564">
        <v>0</v>
      </c>
      <c r="J564">
        <v>0</v>
      </c>
      <c r="K564">
        <v>1</v>
      </c>
      <c r="L564">
        <v>0</v>
      </c>
      <c r="M564">
        <v>2</v>
      </c>
      <c r="N564">
        <v>1</v>
      </c>
      <c r="O564" t="str">
        <f t="shared" si="48"/>
        <v>Female</v>
      </c>
      <c r="P564" t="str">
        <f t="shared" si="49"/>
        <v>Heart Disease</v>
      </c>
      <c r="Q564" t="str">
        <f t="shared" si="50"/>
        <v>Non-Anginal Pain</v>
      </c>
      <c r="R564" t="str">
        <f t="shared" si="51"/>
        <v>Normal</v>
      </c>
      <c r="S564" t="str">
        <f t="shared" si="52"/>
        <v>No</v>
      </c>
      <c r="T564" t="str" cm="1">
        <f t="array" ref="T564">_xlfn.IFS(A563&lt;30,"18-29",A563&lt;40,"30-39",A563&lt;50,"40-49",A563&lt;60,"50-59",A563&gt;=60,"60+")</f>
        <v>60+</v>
      </c>
      <c r="U564" t="str">
        <f t="shared" si="53"/>
        <v>Elevated</v>
      </c>
    </row>
    <row r="565" spans="1:21">
      <c r="A565">
        <v>44</v>
      </c>
      <c r="B565">
        <v>1</v>
      </c>
      <c r="C565">
        <v>0</v>
      </c>
      <c r="D565">
        <v>112</v>
      </c>
      <c r="E565">
        <v>290</v>
      </c>
      <c r="F565">
        <v>0</v>
      </c>
      <c r="G565">
        <v>0</v>
      </c>
      <c r="H565">
        <v>153</v>
      </c>
      <c r="I565">
        <v>0</v>
      </c>
      <c r="J565">
        <v>0</v>
      </c>
      <c r="K565">
        <v>2</v>
      </c>
      <c r="L565">
        <v>1</v>
      </c>
      <c r="M565">
        <v>2</v>
      </c>
      <c r="N565">
        <v>0</v>
      </c>
      <c r="O565" t="str">
        <f t="shared" si="48"/>
        <v>Male</v>
      </c>
      <c r="P565" t="str">
        <f t="shared" si="49"/>
        <v>No Disease</v>
      </c>
      <c r="Q565" t="str">
        <f t="shared" si="50"/>
        <v>Typical Angina</v>
      </c>
      <c r="R565" t="str">
        <f t="shared" si="51"/>
        <v>Normal</v>
      </c>
      <c r="S565" t="str">
        <f t="shared" si="52"/>
        <v>No</v>
      </c>
      <c r="T565" t="str" cm="1">
        <f t="array" ref="T565">_xlfn.IFS(A564&lt;30,"18-29",A564&lt;40,"30-39",A564&lt;50,"40-49",A564&lt;60,"50-59",A564&gt;=60,"60+")</f>
        <v>40-49</v>
      </c>
      <c r="U565" t="str">
        <f t="shared" si="53"/>
        <v>Normal</v>
      </c>
    </row>
    <row r="566" spans="1:21">
      <c r="A566">
        <v>56</v>
      </c>
      <c r="B566">
        <v>1</v>
      </c>
      <c r="C566">
        <v>0</v>
      </c>
      <c r="D566">
        <v>132</v>
      </c>
      <c r="E566">
        <v>184</v>
      </c>
      <c r="F566">
        <v>0</v>
      </c>
      <c r="G566">
        <v>0</v>
      </c>
      <c r="H566">
        <v>105</v>
      </c>
      <c r="I566">
        <v>1</v>
      </c>
      <c r="J566">
        <v>2.1</v>
      </c>
      <c r="K566">
        <v>1</v>
      </c>
      <c r="L566">
        <v>1</v>
      </c>
      <c r="M566">
        <v>1</v>
      </c>
      <c r="N566">
        <v>0</v>
      </c>
      <c r="O566" t="str">
        <f t="shared" si="48"/>
        <v>Male</v>
      </c>
      <c r="P566" t="str">
        <f t="shared" si="49"/>
        <v>No Disease</v>
      </c>
      <c r="Q566" t="str">
        <f t="shared" si="50"/>
        <v>Typical Angina</v>
      </c>
      <c r="R566" t="str">
        <f t="shared" si="51"/>
        <v>Normal</v>
      </c>
      <c r="S566" t="str">
        <f t="shared" si="52"/>
        <v>Yes</v>
      </c>
      <c r="T566" t="str" cm="1">
        <f t="array" ref="T566">_xlfn.IFS(A565&lt;30,"18-29",A565&lt;40,"30-39",A565&lt;50,"40-49",A565&lt;60,"50-59",A565&gt;=60,"60+")</f>
        <v>40-49</v>
      </c>
      <c r="U566" t="str">
        <f t="shared" si="53"/>
        <v>High (Stage 1)</v>
      </c>
    </row>
    <row r="567" spans="1:21">
      <c r="A567">
        <v>53</v>
      </c>
      <c r="B567">
        <v>0</v>
      </c>
      <c r="C567">
        <v>0</v>
      </c>
      <c r="D567">
        <v>138</v>
      </c>
      <c r="E567">
        <v>234</v>
      </c>
      <c r="F567">
        <v>0</v>
      </c>
      <c r="G567">
        <v>0</v>
      </c>
      <c r="H567">
        <v>160</v>
      </c>
      <c r="I567">
        <v>0</v>
      </c>
      <c r="J567">
        <v>0</v>
      </c>
      <c r="K567">
        <v>2</v>
      </c>
      <c r="L567">
        <v>0</v>
      </c>
      <c r="M567">
        <v>2</v>
      </c>
      <c r="N567">
        <v>1</v>
      </c>
      <c r="O567" t="str">
        <f t="shared" si="48"/>
        <v>Female</v>
      </c>
      <c r="P567" t="str">
        <f t="shared" si="49"/>
        <v>Heart Disease</v>
      </c>
      <c r="Q567" t="str">
        <f t="shared" si="50"/>
        <v>Typical Angina</v>
      </c>
      <c r="R567" t="str">
        <f t="shared" si="51"/>
        <v>Normal</v>
      </c>
      <c r="S567" t="str">
        <f t="shared" si="52"/>
        <v>No</v>
      </c>
      <c r="T567" t="str" cm="1">
        <f t="array" ref="T567">_xlfn.IFS(A566&lt;30,"18-29",A566&lt;40,"30-39",A566&lt;50,"40-49",A566&lt;60,"50-59",A566&gt;=60,"60+")</f>
        <v>50-59</v>
      </c>
      <c r="U567" t="str">
        <f t="shared" si="53"/>
        <v>High (Stage 1)</v>
      </c>
    </row>
    <row r="568" spans="1:21">
      <c r="A568">
        <v>50</v>
      </c>
      <c r="B568">
        <v>0</v>
      </c>
      <c r="C568">
        <v>0</v>
      </c>
      <c r="D568">
        <v>110</v>
      </c>
      <c r="E568">
        <v>254</v>
      </c>
      <c r="F568">
        <v>0</v>
      </c>
      <c r="G568">
        <v>0</v>
      </c>
      <c r="H568">
        <v>159</v>
      </c>
      <c r="I568">
        <v>0</v>
      </c>
      <c r="J568">
        <v>0</v>
      </c>
      <c r="K568">
        <v>2</v>
      </c>
      <c r="L568">
        <v>0</v>
      </c>
      <c r="M568">
        <v>2</v>
      </c>
      <c r="N568">
        <v>1</v>
      </c>
      <c r="O568" t="str">
        <f t="shared" si="48"/>
        <v>Female</v>
      </c>
      <c r="P568" t="str">
        <f t="shared" si="49"/>
        <v>Heart Disease</v>
      </c>
      <c r="Q568" t="str">
        <f t="shared" si="50"/>
        <v>Typical Angina</v>
      </c>
      <c r="R568" t="str">
        <f t="shared" si="51"/>
        <v>Normal</v>
      </c>
      <c r="S568" t="str">
        <f t="shared" si="52"/>
        <v>No</v>
      </c>
      <c r="T568" t="str" cm="1">
        <f t="array" ref="T568">_xlfn.IFS(A567&lt;30,"18-29",A567&lt;40,"30-39",A567&lt;50,"40-49",A567&lt;60,"50-59",A567&gt;=60,"60+")</f>
        <v>50-59</v>
      </c>
      <c r="U568" t="str">
        <f t="shared" si="53"/>
        <v>Normal</v>
      </c>
    </row>
    <row r="569" spans="1:21">
      <c r="A569">
        <v>41</v>
      </c>
      <c r="B569">
        <v>1</v>
      </c>
      <c r="C569">
        <v>2</v>
      </c>
      <c r="D569">
        <v>130</v>
      </c>
      <c r="E569">
        <v>214</v>
      </c>
      <c r="F569">
        <v>0</v>
      </c>
      <c r="G569">
        <v>0</v>
      </c>
      <c r="H569">
        <v>168</v>
      </c>
      <c r="I569">
        <v>0</v>
      </c>
      <c r="J569">
        <v>2</v>
      </c>
      <c r="K569">
        <v>1</v>
      </c>
      <c r="L569">
        <v>0</v>
      </c>
      <c r="M569">
        <v>2</v>
      </c>
      <c r="N569">
        <v>1</v>
      </c>
      <c r="O569" t="str">
        <f t="shared" si="48"/>
        <v>Male</v>
      </c>
      <c r="P569" t="str">
        <f t="shared" si="49"/>
        <v>Heart Disease</v>
      </c>
      <c r="Q569" t="str">
        <f t="shared" si="50"/>
        <v>Non-Anginal Pain</v>
      </c>
      <c r="R569" t="str">
        <f t="shared" si="51"/>
        <v>Normal</v>
      </c>
      <c r="S569" t="str">
        <f t="shared" si="52"/>
        <v>No</v>
      </c>
      <c r="T569" t="str" cm="1">
        <f t="array" ref="T569">_xlfn.IFS(A568&lt;30,"18-29",A568&lt;40,"30-39",A568&lt;50,"40-49",A568&lt;60,"50-59",A568&gt;=60,"60+")</f>
        <v>50-59</v>
      </c>
      <c r="U569" t="str">
        <f t="shared" si="53"/>
        <v>High (Stage 1)</v>
      </c>
    </row>
    <row r="570" spans="1:21">
      <c r="A570">
        <v>54</v>
      </c>
      <c r="B570">
        <v>0</v>
      </c>
      <c r="C570">
        <v>2</v>
      </c>
      <c r="D570">
        <v>160</v>
      </c>
      <c r="E570">
        <v>201</v>
      </c>
      <c r="F570">
        <v>0</v>
      </c>
      <c r="G570">
        <v>1</v>
      </c>
      <c r="H570">
        <v>163</v>
      </c>
      <c r="I570">
        <v>0</v>
      </c>
      <c r="J570">
        <v>0</v>
      </c>
      <c r="K570">
        <v>2</v>
      </c>
      <c r="L570">
        <v>1</v>
      </c>
      <c r="M570">
        <v>2</v>
      </c>
      <c r="N570">
        <v>1</v>
      </c>
      <c r="O570" t="str">
        <f t="shared" si="48"/>
        <v>Female</v>
      </c>
      <c r="P570" t="str">
        <f t="shared" si="49"/>
        <v>Heart Disease</v>
      </c>
      <c r="Q570" t="str">
        <f t="shared" si="50"/>
        <v>Non-Anginal Pain</v>
      </c>
      <c r="R570" t="str">
        <f t="shared" si="51"/>
        <v>Normal</v>
      </c>
      <c r="S570" t="str">
        <f t="shared" si="52"/>
        <v>No</v>
      </c>
      <c r="T570" t="str" cm="1">
        <f t="array" ref="T570">_xlfn.IFS(A569&lt;30,"18-29",A569&lt;40,"30-39",A569&lt;50,"40-49",A569&lt;60,"50-59",A569&gt;=60,"60+")</f>
        <v>40-49</v>
      </c>
      <c r="U570" t="str">
        <f t="shared" si="53"/>
        <v>High (Stage 2)</v>
      </c>
    </row>
    <row r="571" spans="1:21">
      <c r="A571">
        <v>42</v>
      </c>
      <c r="B571">
        <v>1</v>
      </c>
      <c r="C571">
        <v>2</v>
      </c>
      <c r="D571">
        <v>120</v>
      </c>
      <c r="E571">
        <v>240</v>
      </c>
      <c r="F571">
        <v>1</v>
      </c>
      <c r="G571">
        <v>1</v>
      </c>
      <c r="H571">
        <v>194</v>
      </c>
      <c r="I571">
        <v>0</v>
      </c>
      <c r="J571">
        <v>0.8</v>
      </c>
      <c r="K571">
        <v>0</v>
      </c>
      <c r="L571">
        <v>0</v>
      </c>
      <c r="M571">
        <v>3</v>
      </c>
      <c r="N571">
        <v>1</v>
      </c>
      <c r="O571" t="str">
        <f t="shared" si="48"/>
        <v>Male</v>
      </c>
      <c r="P571" t="str">
        <f t="shared" si="49"/>
        <v>Heart Disease</v>
      </c>
      <c r="Q571" t="str">
        <f t="shared" si="50"/>
        <v>Non-Anginal Pain</v>
      </c>
      <c r="R571" t="str">
        <f t="shared" si="51"/>
        <v>High</v>
      </c>
      <c r="S571" t="str">
        <f t="shared" si="52"/>
        <v>No</v>
      </c>
      <c r="T571" t="str" cm="1">
        <f t="array" ref="T571">_xlfn.IFS(A570&lt;30,"18-29",A570&lt;40,"30-39",A570&lt;50,"40-49",A570&lt;60,"50-59",A570&gt;=60,"60+")</f>
        <v>50-59</v>
      </c>
      <c r="U571" t="str">
        <f t="shared" si="53"/>
        <v>Elevated</v>
      </c>
    </row>
    <row r="572" spans="1:21">
      <c r="A572">
        <v>54</v>
      </c>
      <c r="B572">
        <v>0</v>
      </c>
      <c r="C572">
        <v>2</v>
      </c>
      <c r="D572">
        <v>135</v>
      </c>
      <c r="E572">
        <v>304</v>
      </c>
      <c r="F572">
        <v>1</v>
      </c>
      <c r="G572">
        <v>1</v>
      </c>
      <c r="H572">
        <v>170</v>
      </c>
      <c r="I572">
        <v>0</v>
      </c>
      <c r="J572">
        <v>0</v>
      </c>
      <c r="K572">
        <v>2</v>
      </c>
      <c r="L572">
        <v>0</v>
      </c>
      <c r="M572">
        <v>2</v>
      </c>
      <c r="N572">
        <v>1</v>
      </c>
      <c r="O572" t="str">
        <f t="shared" si="48"/>
        <v>Female</v>
      </c>
      <c r="P572" t="str">
        <f t="shared" si="49"/>
        <v>Heart Disease</v>
      </c>
      <c r="Q572" t="str">
        <f t="shared" si="50"/>
        <v>Non-Anginal Pain</v>
      </c>
      <c r="R572" t="str">
        <f t="shared" si="51"/>
        <v>High</v>
      </c>
      <c r="S572" t="str">
        <f t="shared" si="52"/>
        <v>No</v>
      </c>
      <c r="T572" t="str" cm="1">
        <f t="array" ref="T572">_xlfn.IFS(A571&lt;30,"18-29",A571&lt;40,"30-39",A571&lt;50,"40-49",A571&lt;60,"50-59",A571&gt;=60,"60+")</f>
        <v>40-49</v>
      </c>
      <c r="U572" t="str">
        <f t="shared" si="53"/>
        <v>High (Stage 1)</v>
      </c>
    </row>
    <row r="573" spans="1:21">
      <c r="A573">
        <v>60</v>
      </c>
      <c r="B573">
        <v>1</v>
      </c>
      <c r="C573">
        <v>0</v>
      </c>
      <c r="D573">
        <v>145</v>
      </c>
      <c r="E573">
        <v>282</v>
      </c>
      <c r="F573">
        <v>0</v>
      </c>
      <c r="G573">
        <v>0</v>
      </c>
      <c r="H573">
        <v>142</v>
      </c>
      <c r="I573">
        <v>1</v>
      </c>
      <c r="J573">
        <v>2.8</v>
      </c>
      <c r="K573">
        <v>1</v>
      </c>
      <c r="L573">
        <v>2</v>
      </c>
      <c r="M573">
        <v>3</v>
      </c>
      <c r="N573">
        <v>0</v>
      </c>
      <c r="O573" t="str">
        <f t="shared" si="48"/>
        <v>Male</v>
      </c>
      <c r="P573" t="str">
        <f t="shared" si="49"/>
        <v>No Disease</v>
      </c>
      <c r="Q573" t="str">
        <f t="shared" si="50"/>
        <v>Typical Angina</v>
      </c>
      <c r="R573" t="str">
        <f t="shared" si="51"/>
        <v>Normal</v>
      </c>
      <c r="S573" t="str">
        <f t="shared" si="52"/>
        <v>Yes</v>
      </c>
      <c r="T573" t="str" cm="1">
        <f t="array" ref="T573">_xlfn.IFS(A572&lt;30,"18-29",A572&lt;40,"30-39",A572&lt;50,"40-49",A572&lt;60,"50-59",A572&gt;=60,"60+")</f>
        <v>50-59</v>
      </c>
      <c r="U573" t="str">
        <f t="shared" si="53"/>
        <v>High (Stage 2)</v>
      </c>
    </row>
    <row r="574" spans="1:21">
      <c r="A574">
        <v>34</v>
      </c>
      <c r="B574">
        <v>1</v>
      </c>
      <c r="C574">
        <v>3</v>
      </c>
      <c r="D574">
        <v>118</v>
      </c>
      <c r="E574">
        <v>182</v>
      </c>
      <c r="F574">
        <v>0</v>
      </c>
      <c r="G574">
        <v>0</v>
      </c>
      <c r="H574">
        <v>174</v>
      </c>
      <c r="I574">
        <v>0</v>
      </c>
      <c r="J574">
        <v>0</v>
      </c>
      <c r="K574">
        <v>2</v>
      </c>
      <c r="L574">
        <v>0</v>
      </c>
      <c r="M574">
        <v>2</v>
      </c>
      <c r="N574">
        <v>1</v>
      </c>
      <c r="O574" t="str">
        <f t="shared" si="48"/>
        <v>Male</v>
      </c>
      <c r="P574" t="str">
        <f t="shared" si="49"/>
        <v>Heart Disease</v>
      </c>
      <c r="Q574" t="str">
        <f t="shared" si="50"/>
        <v>Asymptomatic</v>
      </c>
      <c r="R574" t="str">
        <f t="shared" si="51"/>
        <v>Normal</v>
      </c>
      <c r="S574" t="str">
        <f t="shared" si="52"/>
        <v>No</v>
      </c>
      <c r="T574" t="str" cm="1">
        <f t="array" ref="T574">_xlfn.IFS(A573&lt;30,"18-29",A573&lt;40,"30-39",A573&lt;50,"40-49",A573&lt;60,"50-59",A573&gt;=60,"60+")</f>
        <v>60+</v>
      </c>
      <c r="U574" t="str">
        <f t="shared" si="53"/>
        <v>Normal</v>
      </c>
    </row>
    <row r="575" spans="1:21">
      <c r="A575">
        <v>44</v>
      </c>
      <c r="B575">
        <v>1</v>
      </c>
      <c r="C575">
        <v>0</v>
      </c>
      <c r="D575">
        <v>112</v>
      </c>
      <c r="E575">
        <v>290</v>
      </c>
      <c r="F575">
        <v>0</v>
      </c>
      <c r="G575">
        <v>0</v>
      </c>
      <c r="H575">
        <v>153</v>
      </c>
      <c r="I575">
        <v>0</v>
      </c>
      <c r="J575">
        <v>0</v>
      </c>
      <c r="K575">
        <v>2</v>
      </c>
      <c r="L575">
        <v>1</v>
      </c>
      <c r="M575">
        <v>2</v>
      </c>
      <c r="N575">
        <v>0</v>
      </c>
      <c r="O575" t="str">
        <f t="shared" si="48"/>
        <v>Male</v>
      </c>
      <c r="P575" t="str">
        <f t="shared" si="49"/>
        <v>No Disease</v>
      </c>
      <c r="Q575" t="str">
        <f t="shared" si="50"/>
        <v>Typical Angina</v>
      </c>
      <c r="R575" t="str">
        <f t="shared" si="51"/>
        <v>Normal</v>
      </c>
      <c r="S575" t="str">
        <f t="shared" si="52"/>
        <v>No</v>
      </c>
      <c r="T575" t="str" cm="1">
        <f t="array" ref="T575">_xlfn.IFS(A574&lt;30,"18-29",A574&lt;40,"30-39",A574&lt;50,"40-49",A574&lt;60,"50-59",A574&gt;=60,"60+")</f>
        <v>30-39</v>
      </c>
      <c r="U575" t="str">
        <f t="shared" si="53"/>
        <v>Normal</v>
      </c>
    </row>
    <row r="576" spans="1:21">
      <c r="A576">
        <v>60</v>
      </c>
      <c r="B576">
        <v>1</v>
      </c>
      <c r="C576">
        <v>0</v>
      </c>
      <c r="D576">
        <v>125</v>
      </c>
      <c r="E576">
        <v>258</v>
      </c>
      <c r="F576">
        <v>0</v>
      </c>
      <c r="G576">
        <v>0</v>
      </c>
      <c r="H576">
        <v>141</v>
      </c>
      <c r="I576">
        <v>1</v>
      </c>
      <c r="J576">
        <v>2.8</v>
      </c>
      <c r="K576">
        <v>1</v>
      </c>
      <c r="L576">
        <v>1</v>
      </c>
      <c r="M576">
        <v>3</v>
      </c>
      <c r="N576">
        <v>0</v>
      </c>
      <c r="O576" t="str">
        <f t="shared" si="48"/>
        <v>Male</v>
      </c>
      <c r="P576" t="str">
        <f t="shared" si="49"/>
        <v>No Disease</v>
      </c>
      <c r="Q576" t="str">
        <f t="shared" si="50"/>
        <v>Typical Angina</v>
      </c>
      <c r="R576" t="str">
        <f t="shared" si="51"/>
        <v>Normal</v>
      </c>
      <c r="S576" t="str">
        <f t="shared" si="52"/>
        <v>Yes</v>
      </c>
      <c r="T576" t="str" cm="1">
        <f t="array" ref="T576">_xlfn.IFS(A575&lt;30,"18-29",A575&lt;40,"30-39",A575&lt;50,"40-49",A575&lt;60,"50-59",A575&gt;=60,"60+")</f>
        <v>40-49</v>
      </c>
      <c r="U576" t="str">
        <f t="shared" si="53"/>
        <v>Elevated</v>
      </c>
    </row>
    <row r="577" spans="1:21">
      <c r="A577">
        <v>43</v>
      </c>
      <c r="B577">
        <v>1</v>
      </c>
      <c r="C577">
        <v>0</v>
      </c>
      <c r="D577">
        <v>150</v>
      </c>
      <c r="E577">
        <v>247</v>
      </c>
      <c r="F577">
        <v>0</v>
      </c>
      <c r="G577">
        <v>1</v>
      </c>
      <c r="H577">
        <v>171</v>
      </c>
      <c r="I577">
        <v>0</v>
      </c>
      <c r="J577">
        <v>1.5</v>
      </c>
      <c r="K577">
        <v>2</v>
      </c>
      <c r="L577">
        <v>0</v>
      </c>
      <c r="M577">
        <v>2</v>
      </c>
      <c r="N577">
        <v>1</v>
      </c>
      <c r="O577" t="str">
        <f t="shared" si="48"/>
        <v>Male</v>
      </c>
      <c r="P577" t="str">
        <f t="shared" si="49"/>
        <v>Heart Disease</v>
      </c>
      <c r="Q577" t="str">
        <f t="shared" si="50"/>
        <v>Typical Angina</v>
      </c>
      <c r="R577" t="str">
        <f t="shared" si="51"/>
        <v>Normal</v>
      </c>
      <c r="S577" t="str">
        <f t="shared" si="52"/>
        <v>No</v>
      </c>
      <c r="T577" t="str" cm="1">
        <f t="array" ref="T577">_xlfn.IFS(A576&lt;30,"18-29",A576&lt;40,"30-39",A576&lt;50,"40-49",A576&lt;60,"50-59",A576&gt;=60,"60+")</f>
        <v>60+</v>
      </c>
      <c r="U577" t="str">
        <f t="shared" si="53"/>
        <v>High (Stage 2)</v>
      </c>
    </row>
    <row r="578" spans="1:21">
      <c r="A578">
        <v>52</v>
      </c>
      <c r="B578">
        <v>1</v>
      </c>
      <c r="C578">
        <v>3</v>
      </c>
      <c r="D578">
        <v>152</v>
      </c>
      <c r="E578">
        <v>298</v>
      </c>
      <c r="F578">
        <v>1</v>
      </c>
      <c r="G578">
        <v>1</v>
      </c>
      <c r="H578">
        <v>178</v>
      </c>
      <c r="I578">
        <v>0</v>
      </c>
      <c r="J578">
        <v>1.2</v>
      </c>
      <c r="K578">
        <v>1</v>
      </c>
      <c r="L578">
        <v>0</v>
      </c>
      <c r="M578">
        <v>3</v>
      </c>
      <c r="N578">
        <v>1</v>
      </c>
      <c r="O578" t="str">
        <f t="shared" ref="O578:O641" si="54">IF(B578=1,"Male","Female")</f>
        <v>Male</v>
      </c>
      <c r="P578" t="str">
        <f t="shared" ref="P578:P641" si="55">IF(N578=1,"Heart Disease","No Disease")</f>
        <v>Heart Disease</v>
      </c>
      <c r="Q578" t="str">
        <f t="shared" ref="Q578:Q641" si="56">IF(C578=0,"Typical Angina",IF(C578=1,"Atypical Angina",IF(C578=2,"Non-Anginal Pain","Asymptomatic")))</f>
        <v>Asymptomatic</v>
      </c>
      <c r="R578" t="str">
        <f t="shared" ref="R578:R641" si="57">IF(F578=1,"High","Normal")</f>
        <v>High</v>
      </c>
      <c r="S578" t="str">
        <f t="shared" ref="S578:S641" si="58">IF(I578=1,"Yes","No")</f>
        <v>No</v>
      </c>
      <c r="T578" t="str" cm="1">
        <f t="array" ref="T578">_xlfn.IFS(A577&lt;30,"18-29",A577&lt;40,"30-39",A577&lt;50,"40-49",A577&lt;60,"50-59",A577&gt;=60,"60+")</f>
        <v>40-49</v>
      </c>
      <c r="U578" t="str">
        <f t="shared" ref="U578:U641" si="59">IF(D578&lt;120,"Normal",IF(D578&lt;130,"Elevated",IF(D578&lt;140,"High (Stage 1)","High (Stage 2)")))</f>
        <v>High (Stage 2)</v>
      </c>
    </row>
    <row r="579" spans="1:21">
      <c r="A579">
        <v>70</v>
      </c>
      <c r="B579">
        <v>1</v>
      </c>
      <c r="C579">
        <v>0</v>
      </c>
      <c r="D579">
        <v>130</v>
      </c>
      <c r="E579">
        <v>322</v>
      </c>
      <c r="F579">
        <v>0</v>
      </c>
      <c r="G579">
        <v>0</v>
      </c>
      <c r="H579">
        <v>109</v>
      </c>
      <c r="I579">
        <v>0</v>
      </c>
      <c r="J579">
        <v>2.4</v>
      </c>
      <c r="K579">
        <v>1</v>
      </c>
      <c r="L579">
        <v>3</v>
      </c>
      <c r="M579">
        <v>2</v>
      </c>
      <c r="N579">
        <v>0</v>
      </c>
      <c r="O579" t="str">
        <f t="shared" si="54"/>
        <v>Male</v>
      </c>
      <c r="P579" t="str">
        <f t="shared" si="55"/>
        <v>No Disease</v>
      </c>
      <c r="Q579" t="str">
        <f t="shared" si="56"/>
        <v>Typical Angina</v>
      </c>
      <c r="R579" t="str">
        <f t="shared" si="57"/>
        <v>Normal</v>
      </c>
      <c r="S579" t="str">
        <f t="shared" si="58"/>
        <v>No</v>
      </c>
      <c r="T579" t="str" cm="1">
        <f t="array" ref="T579">_xlfn.IFS(A578&lt;30,"18-29",A578&lt;40,"30-39",A578&lt;50,"40-49",A578&lt;60,"50-59",A578&gt;=60,"60+")</f>
        <v>50-59</v>
      </c>
      <c r="U579" t="str">
        <f t="shared" si="59"/>
        <v>High (Stage 1)</v>
      </c>
    </row>
    <row r="580" spans="1:21">
      <c r="A580">
        <v>62</v>
      </c>
      <c r="B580">
        <v>0</v>
      </c>
      <c r="C580">
        <v>0</v>
      </c>
      <c r="D580">
        <v>140</v>
      </c>
      <c r="E580">
        <v>394</v>
      </c>
      <c r="F580">
        <v>0</v>
      </c>
      <c r="G580">
        <v>0</v>
      </c>
      <c r="H580">
        <v>157</v>
      </c>
      <c r="I580">
        <v>0</v>
      </c>
      <c r="J580">
        <v>1.2</v>
      </c>
      <c r="K580">
        <v>1</v>
      </c>
      <c r="L580">
        <v>0</v>
      </c>
      <c r="M580">
        <v>2</v>
      </c>
      <c r="N580">
        <v>1</v>
      </c>
      <c r="O580" t="str">
        <f t="shared" si="54"/>
        <v>Female</v>
      </c>
      <c r="P580" t="str">
        <f t="shared" si="55"/>
        <v>Heart Disease</v>
      </c>
      <c r="Q580" t="str">
        <f t="shared" si="56"/>
        <v>Typical Angina</v>
      </c>
      <c r="R580" t="str">
        <f t="shared" si="57"/>
        <v>Normal</v>
      </c>
      <c r="S580" t="str">
        <f t="shared" si="58"/>
        <v>No</v>
      </c>
      <c r="T580" t="str" cm="1">
        <f t="array" ref="T580">_xlfn.IFS(A579&lt;30,"18-29",A579&lt;40,"30-39",A579&lt;50,"40-49",A579&lt;60,"50-59",A579&gt;=60,"60+")</f>
        <v>60+</v>
      </c>
      <c r="U580" t="str">
        <f t="shared" si="59"/>
        <v>High (Stage 2)</v>
      </c>
    </row>
    <row r="581" spans="1:21">
      <c r="A581">
        <v>58</v>
      </c>
      <c r="B581">
        <v>1</v>
      </c>
      <c r="C581">
        <v>0</v>
      </c>
      <c r="D581">
        <v>146</v>
      </c>
      <c r="E581">
        <v>218</v>
      </c>
      <c r="F581">
        <v>0</v>
      </c>
      <c r="G581">
        <v>1</v>
      </c>
      <c r="H581">
        <v>105</v>
      </c>
      <c r="I581">
        <v>0</v>
      </c>
      <c r="J581">
        <v>2</v>
      </c>
      <c r="K581">
        <v>1</v>
      </c>
      <c r="L581">
        <v>1</v>
      </c>
      <c r="M581">
        <v>3</v>
      </c>
      <c r="N581">
        <v>0</v>
      </c>
      <c r="O581" t="str">
        <f t="shared" si="54"/>
        <v>Male</v>
      </c>
      <c r="P581" t="str">
        <f t="shared" si="55"/>
        <v>No Disease</v>
      </c>
      <c r="Q581" t="str">
        <f t="shared" si="56"/>
        <v>Typical Angina</v>
      </c>
      <c r="R581" t="str">
        <f t="shared" si="57"/>
        <v>Normal</v>
      </c>
      <c r="S581" t="str">
        <f t="shared" si="58"/>
        <v>No</v>
      </c>
      <c r="T581" t="str" cm="1">
        <f t="array" ref="T581">_xlfn.IFS(A580&lt;30,"18-29",A580&lt;40,"30-39",A580&lt;50,"40-49",A580&lt;60,"50-59",A580&gt;=60,"60+")</f>
        <v>60+</v>
      </c>
      <c r="U581" t="str">
        <f t="shared" si="59"/>
        <v>High (Stage 2)</v>
      </c>
    </row>
    <row r="582" spans="1:21">
      <c r="A582">
        <v>46</v>
      </c>
      <c r="B582">
        <v>1</v>
      </c>
      <c r="C582">
        <v>1</v>
      </c>
      <c r="D582">
        <v>101</v>
      </c>
      <c r="E582">
        <v>197</v>
      </c>
      <c r="F582">
        <v>1</v>
      </c>
      <c r="G582">
        <v>1</v>
      </c>
      <c r="H582">
        <v>156</v>
      </c>
      <c r="I582">
        <v>0</v>
      </c>
      <c r="J582">
        <v>0</v>
      </c>
      <c r="K582">
        <v>2</v>
      </c>
      <c r="L582">
        <v>0</v>
      </c>
      <c r="M582">
        <v>3</v>
      </c>
      <c r="N582">
        <v>1</v>
      </c>
      <c r="O582" t="str">
        <f t="shared" si="54"/>
        <v>Male</v>
      </c>
      <c r="P582" t="str">
        <f t="shared" si="55"/>
        <v>Heart Disease</v>
      </c>
      <c r="Q582" t="str">
        <f t="shared" si="56"/>
        <v>Atypical Angina</v>
      </c>
      <c r="R582" t="str">
        <f t="shared" si="57"/>
        <v>High</v>
      </c>
      <c r="S582" t="str">
        <f t="shared" si="58"/>
        <v>No</v>
      </c>
      <c r="T582" t="str" cm="1">
        <f t="array" ref="T582">_xlfn.IFS(A581&lt;30,"18-29",A581&lt;40,"30-39",A581&lt;50,"40-49",A581&lt;60,"50-59",A581&gt;=60,"60+")</f>
        <v>50-59</v>
      </c>
      <c r="U582" t="str">
        <f t="shared" si="59"/>
        <v>Normal</v>
      </c>
    </row>
    <row r="583" spans="1:21">
      <c r="A583">
        <v>44</v>
      </c>
      <c r="B583">
        <v>1</v>
      </c>
      <c r="C583">
        <v>2</v>
      </c>
      <c r="D583">
        <v>140</v>
      </c>
      <c r="E583">
        <v>235</v>
      </c>
      <c r="F583">
        <v>0</v>
      </c>
      <c r="G583">
        <v>0</v>
      </c>
      <c r="H583">
        <v>180</v>
      </c>
      <c r="I583">
        <v>0</v>
      </c>
      <c r="J583">
        <v>0</v>
      </c>
      <c r="K583">
        <v>2</v>
      </c>
      <c r="L583">
        <v>0</v>
      </c>
      <c r="M583">
        <v>2</v>
      </c>
      <c r="N583">
        <v>1</v>
      </c>
      <c r="O583" t="str">
        <f t="shared" si="54"/>
        <v>Male</v>
      </c>
      <c r="P583" t="str">
        <f t="shared" si="55"/>
        <v>Heart Disease</v>
      </c>
      <c r="Q583" t="str">
        <f t="shared" si="56"/>
        <v>Non-Anginal Pain</v>
      </c>
      <c r="R583" t="str">
        <f t="shared" si="57"/>
        <v>Normal</v>
      </c>
      <c r="S583" t="str">
        <f t="shared" si="58"/>
        <v>No</v>
      </c>
      <c r="T583" t="str" cm="1">
        <f t="array" ref="T583">_xlfn.IFS(A582&lt;30,"18-29",A582&lt;40,"30-39",A582&lt;50,"40-49",A582&lt;60,"50-59",A582&gt;=60,"60+")</f>
        <v>40-49</v>
      </c>
      <c r="U583" t="str">
        <f t="shared" si="59"/>
        <v>High (Stage 2)</v>
      </c>
    </row>
    <row r="584" spans="1:21">
      <c r="A584">
        <v>55</v>
      </c>
      <c r="B584">
        <v>1</v>
      </c>
      <c r="C584">
        <v>1</v>
      </c>
      <c r="D584">
        <v>130</v>
      </c>
      <c r="E584">
        <v>262</v>
      </c>
      <c r="F584">
        <v>0</v>
      </c>
      <c r="G584">
        <v>1</v>
      </c>
      <c r="H584">
        <v>155</v>
      </c>
      <c r="I584">
        <v>0</v>
      </c>
      <c r="J584">
        <v>0</v>
      </c>
      <c r="K584">
        <v>2</v>
      </c>
      <c r="L584">
        <v>0</v>
      </c>
      <c r="M584">
        <v>2</v>
      </c>
      <c r="N584">
        <v>1</v>
      </c>
      <c r="O584" t="str">
        <f t="shared" si="54"/>
        <v>Male</v>
      </c>
      <c r="P584" t="str">
        <f t="shared" si="55"/>
        <v>Heart Disease</v>
      </c>
      <c r="Q584" t="str">
        <f t="shared" si="56"/>
        <v>Atypical Angina</v>
      </c>
      <c r="R584" t="str">
        <f t="shared" si="57"/>
        <v>Normal</v>
      </c>
      <c r="S584" t="str">
        <f t="shared" si="58"/>
        <v>No</v>
      </c>
      <c r="T584" t="str" cm="1">
        <f t="array" ref="T584">_xlfn.IFS(A583&lt;30,"18-29",A583&lt;40,"30-39",A583&lt;50,"40-49",A583&lt;60,"50-59",A583&gt;=60,"60+")</f>
        <v>40-49</v>
      </c>
      <c r="U584" t="str">
        <f t="shared" si="59"/>
        <v>High (Stage 1)</v>
      </c>
    </row>
    <row r="585" spans="1:21">
      <c r="A585">
        <v>43</v>
      </c>
      <c r="B585">
        <v>1</v>
      </c>
      <c r="C585">
        <v>0</v>
      </c>
      <c r="D585">
        <v>120</v>
      </c>
      <c r="E585">
        <v>177</v>
      </c>
      <c r="F585">
        <v>0</v>
      </c>
      <c r="G585">
        <v>0</v>
      </c>
      <c r="H585">
        <v>120</v>
      </c>
      <c r="I585">
        <v>1</v>
      </c>
      <c r="J585">
        <v>2.5</v>
      </c>
      <c r="K585">
        <v>1</v>
      </c>
      <c r="L585">
        <v>0</v>
      </c>
      <c r="M585">
        <v>3</v>
      </c>
      <c r="N585">
        <v>0</v>
      </c>
      <c r="O585" t="str">
        <f t="shared" si="54"/>
        <v>Male</v>
      </c>
      <c r="P585" t="str">
        <f t="shared" si="55"/>
        <v>No Disease</v>
      </c>
      <c r="Q585" t="str">
        <f t="shared" si="56"/>
        <v>Typical Angina</v>
      </c>
      <c r="R585" t="str">
        <f t="shared" si="57"/>
        <v>Normal</v>
      </c>
      <c r="S585" t="str">
        <f t="shared" si="58"/>
        <v>Yes</v>
      </c>
      <c r="T585" t="str" cm="1">
        <f t="array" ref="T585">_xlfn.IFS(A584&lt;30,"18-29",A584&lt;40,"30-39",A584&lt;50,"40-49",A584&lt;60,"50-59",A584&gt;=60,"60+")</f>
        <v>50-59</v>
      </c>
      <c r="U585" t="str">
        <f t="shared" si="59"/>
        <v>Elevated</v>
      </c>
    </row>
    <row r="586" spans="1:21">
      <c r="A586">
        <v>55</v>
      </c>
      <c r="B586">
        <v>1</v>
      </c>
      <c r="C586">
        <v>0</v>
      </c>
      <c r="D586">
        <v>132</v>
      </c>
      <c r="E586">
        <v>353</v>
      </c>
      <c r="F586">
        <v>0</v>
      </c>
      <c r="G586">
        <v>1</v>
      </c>
      <c r="H586">
        <v>132</v>
      </c>
      <c r="I586">
        <v>1</v>
      </c>
      <c r="J586">
        <v>1.2</v>
      </c>
      <c r="K586">
        <v>1</v>
      </c>
      <c r="L586">
        <v>1</v>
      </c>
      <c r="M586">
        <v>3</v>
      </c>
      <c r="N586">
        <v>0</v>
      </c>
      <c r="O586" t="str">
        <f t="shared" si="54"/>
        <v>Male</v>
      </c>
      <c r="P586" t="str">
        <f t="shared" si="55"/>
        <v>No Disease</v>
      </c>
      <c r="Q586" t="str">
        <f t="shared" si="56"/>
        <v>Typical Angina</v>
      </c>
      <c r="R586" t="str">
        <f t="shared" si="57"/>
        <v>Normal</v>
      </c>
      <c r="S586" t="str">
        <f t="shared" si="58"/>
        <v>Yes</v>
      </c>
      <c r="T586" t="str" cm="1">
        <f t="array" ref="T586">_xlfn.IFS(A585&lt;30,"18-29",A585&lt;40,"30-39",A585&lt;50,"40-49",A585&lt;60,"50-59",A585&gt;=60,"60+")</f>
        <v>40-49</v>
      </c>
      <c r="U586" t="str">
        <f t="shared" si="59"/>
        <v>High (Stage 1)</v>
      </c>
    </row>
    <row r="587" spans="1:21">
      <c r="A587">
        <v>40</v>
      </c>
      <c r="B587">
        <v>1</v>
      </c>
      <c r="C587">
        <v>3</v>
      </c>
      <c r="D587">
        <v>140</v>
      </c>
      <c r="E587">
        <v>199</v>
      </c>
      <c r="F587">
        <v>0</v>
      </c>
      <c r="G587">
        <v>1</v>
      </c>
      <c r="H587">
        <v>178</v>
      </c>
      <c r="I587">
        <v>1</v>
      </c>
      <c r="J587">
        <v>1.4</v>
      </c>
      <c r="K587">
        <v>2</v>
      </c>
      <c r="L587">
        <v>0</v>
      </c>
      <c r="M587">
        <v>3</v>
      </c>
      <c r="N587">
        <v>1</v>
      </c>
      <c r="O587" t="str">
        <f t="shared" si="54"/>
        <v>Male</v>
      </c>
      <c r="P587" t="str">
        <f t="shared" si="55"/>
        <v>Heart Disease</v>
      </c>
      <c r="Q587" t="str">
        <f t="shared" si="56"/>
        <v>Asymptomatic</v>
      </c>
      <c r="R587" t="str">
        <f t="shared" si="57"/>
        <v>Normal</v>
      </c>
      <c r="S587" t="str">
        <f t="shared" si="58"/>
        <v>Yes</v>
      </c>
      <c r="T587" t="str" cm="1">
        <f t="array" ref="T587">_xlfn.IFS(A586&lt;30,"18-29",A586&lt;40,"30-39",A586&lt;50,"40-49",A586&lt;60,"50-59",A586&gt;=60,"60+")</f>
        <v>50-59</v>
      </c>
      <c r="U587" t="str">
        <f t="shared" si="59"/>
        <v>High (Stage 2)</v>
      </c>
    </row>
    <row r="588" spans="1:21">
      <c r="A588">
        <v>64</v>
      </c>
      <c r="B588">
        <v>1</v>
      </c>
      <c r="C588">
        <v>2</v>
      </c>
      <c r="D588">
        <v>125</v>
      </c>
      <c r="E588">
        <v>309</v>
      </c>
      <c r="F588">
        <v>0</v>
      </c>
      <c r="G588">
        <v>1</v>
      </c>
      <c r="H588">
        <v>131</v>
      </c>
      <c r="I588">
        <v>1</v>
      </c>
      <c r="J588">
        <v>1.8</v>
      </c>
      <c r="K588">
        <v>1</v>
      </c>
      <c r="L588">
        <v>0</v>
      </c>
      <c r="M588">
        <v>3</v>
      </c>
      <c r="N588">
        <v>0</v>
      </c>
      <c r="O588" t="str">
        <f t="shared" si="54"/>
        <v>Male</v>
      </c>
      <c r="P588" t="str">
        <f t="shared" si="55"/>
        <v>No Disease</v>
      </c>
      <c r="Q588" t="str">
        <f t="shared" si="56"/>
        <v>Non-Anginal Pain</v>
      </c>
      <c r="R588" t="str">
        <f t="shared" si="57"/>
        <v>Normal</v>
      </c>
      <c r="S588" t="str">
        <f t="shared" si="58"/>
        <v>Yes</v>
      </c>
      <c r="T588" t="str" cm="1">
        <f t="array" ref="T588">_xlfn.IFS(A587&lt;30,"18-29",A587&lt;40,"30-39",A587&lt;50,"40-49",A587&lt;60,"50-59",A587&gt;=60,"60+")</f>
        <v>40-49</v>
      </c>
      <c r="U588" t="str">
        <f t="shared" si="59"/>
        <v>Elevated</v>
      </c>
    </row>
    <row r="589" spans="1:21">
      <c r="A589">
        <v>59</v>
      </c>
      <c r="B589">
        <v>1</v>
      </c>
      <c r="C589">
        <v>0</v>
      </c>
      <c r="D589">
        <v>164</v>
      </c>
      <c r="E589">
        <v>176</v>
      </c>
      <c r="F589">
        <v>1</v>
      </c>
      <c r="G589">
        <v>0</v>
      </c>
      <c r="H589">
        <v>90</v>
      </c>
      <c r="I589">
        <v>0</v>
      </c>
      <c r="J589">
        <v>1</v>
      </c>
      <c r="K589">
        <v>1</v>
      </c>
      <c r="L589">
        <v>2</v>
      </c>
      <c r="M589">
        <v>1</v>
      </c>
      <c r="N589">
        <v>0</v>
      </c>
      <c r="O589" t="str">
        <f t="shared" si="54"/>
        <v>Male</v>
      </c>
      <c r="P589" t="str">
        <f t="shared" si="55"/>
        <v>No Disease</v>
      </c>
      <c r="Q589" t="str">
        <f t="shared" si="56"/>
        <v>Typical Angina</v>
      </c>
      <c r="R589" t="str">
        <f t="shared" si="57"/>
        <v>High</v>
      </c>
      <c r="S589" t="str">
        <f t="shared" si="58"/>
        <v>No</v>
      </c>
      <c r="T589" t="str" cm="1">
        <f t="array" ref="T589">_xlfn.IFS(A588&lt;30,"18-29",A588&lt;40,"30-39",A588&lt;50,"40-49",A588&lt;60,"50-59",A588&gt;=60,"60+")</f>
        <v>60+</v>
      </c>
      <c r="U589" t="str">
        <f t="shared" si="59"/>
        <v>High (Stage 2)</v>
      </c>
    </row>
    <row r="590" spans="1:21">
      <c r="A590">
        <v>61</v>
      </c>
      <c r="B590">
        <v>0</v>
      </c>
      <c r="C590">
        <v>0</v>
      </c>
      <c r="D590">
        <v>145</v>
      </c>
      <c r="E590">
        <v>307</v>
      </c>
      <c r="F590">
        <v>0</v>
      </c>
      <c r="G590">
        <v>0</v>
      </c>
      <c r="H590">
        <v>146</v>
      </c>
      <c r="I590">
        <v>1</v>
      </c>
      <c r="J590">
        <v>1</v>
      </c>
      <c r="K590">
        <v>1</v>
      </c>
      <c r="L590">
        <v>0</v>
      </c>
      <c r="M590">
        <v>3</v>
      </c>
      <c r="N590">
        <v>0</v>
      </c>
      <c r="O590" t="str">
        <f t="shared" si="54"/>
        <v>Female</v>
      </c>
      <c r="P590" t="str">
        <f t="shared" si="55"/>
        <v>No Disease</v>
      </c>
      <c r="Q590" t="str">
        <f t="shared" si="56"/>
        <v>Typical Angina</v>
      </c>
      <c r="R590" t="str">
        <f t="shared" si="57"/>
        <v>Normal</v>
      </c>
      <c r="S590" t="str">
        <f t="shared" si="58"/>
        <v>Yes</v>
      </c>
      <c r="T590" t="str" cm="1">
        <f t="array" ref="T590">_xlfn.IFS(A589&lt;30,"18-29",A589&lt;40,"30-39",A589&lt;50,"40-49",A589&lt;60,"50-59",A589&gt;=60,"60+")</f>
        <v>50-59</v>
      </c>
      <c r="U590" t="str">
        <f t="shared" si="59"/>
        <v>High (Stage 2)</v>
      </c>
    </row>
    <row r="591" spans="1:21">
      <c r="A591">
        <v>54</v>
      </c>
      <c r="B591">
        <v>1</v>
      </c>
      <c r="C591">
        <v>0</v>
      </c>
      <c r="D591">
        <v>122</v>
      </c>
      <c r="E591">
        <v>286</v>
      </c>
      <c r="F591">
        <v>0</v>
      </c>
      <c r="G591">
        <v>0</v>
      </c>
      <c r="H591">
        <v>116</v>
      </c>
      <c r="I591">
        <v>1</v>
      </c>
      <c r="J591">
        <v>3.2</v>
      </c>
      <c r="K591">
        <v>1</v>
      </c>
      <c r="L591">
        <v>2</v>
      </c>
      <c r="M591">
        <v>2</v>
      </c>
      <c r="N591">
        <v>0</v>
      </c>
      <c r="O591" t="str">
        <f t="shared" si="54"/>
        <v>Male</v>
      </c>
      <c r="P591" t="str">
        <f t="shared" si="55"/>
        <v>No Disease</v>
      </c>
      <c r="Q591" t="str">
        <f t="shared" si="56"/>
        <v>Typical Angina</v>
      </c>
      <c r="R591" t="str">
        <f t="shared" si="57"/>
        <v>Normal</v>
      </c>
      <c r="S591" t="str">
        <f t="shared" si="58"/>
        <v>Yes</v>
      </c>
      <c r="T591" t="str" cm="1">
        <f t="array" ref="T591">_xlfn.IFS(A590&lt;30,"18-29",A590&lt;40,"30-39",A590&lt;50,"40-49",A590&lt;60,"50-59",A590&gt;=60,"60+")</f>
        <v>60+</v>
      </c>
      <c r="U591" t="str">
        <f t="shared" si="59"/>
        <v>Elevated</v>
      </c>
    </row>
    <row r="592" spans="1:21">
      <c r="A592">
        <v>74</v>
      </c>
      <c r="B592">
        <v>0</v>
      </c>
      <c r="C592">
        <v>1</v>
      </c>
      <c r="D592">
        <v>120</v>
      </c>
      <c r="E592">
        <v>269</v>
      </c>
      <c r="F592">
        <v>0</v>
      </c>
      <c r="G592">
        <v>0</v>
      </c>
      <c r="H592">
        <v>121</v>
      </c>
      <c r="I592">
        <v>1</v>
      </c>
      <c r="J592">
        <v>0.2</v>
      </c>
      <c r="K592">
        <v>2</v>
      </c>
      <c r="L592">
        <v>1</v>
      </c>
      <c r="M592">
        <v>2</v>
      </c>
      <c r="N592">
        <v>1</v>
      </c>
      <c r="O592" t="str">
        <f t="shared" si="54"/>
        <v>Female</v>
      </c>
      <c r="P592" t="str">
        <f t="shared" si="55"/>
        <v>Heart Disease</v>
      </c>
      <c r="Q592" t="str">
        <f t="shared" si="56"/>
        <v>Atypical Angina</v>
      </c>
      <c r="R592" t="str">
        <f t="shared" si="57"/>
        <v>Normal</v>
      </c>
      <c r="S592" t="str">
        <f t="shared" si="58"/>
        <v>Yes</v>
      </c>
      <c r="T592" t="str" cm="1">
        <f t="array" ref="T592">_xlfn.IFS(A591&lt;30,"18-29",A591&lt;40,"30-39",A591&lt;50,"40-49",A591&lt;60,"50-59",A591&gt;=60,"60+")</f>
        <v>50-59</v>
      </c>
      <c r="U592" t="str">
        <f t="shared" si="59"/>
        <v>Elevated</v>
      </c>
    </row>
    <row r="593" spans="1:21">
      <c r="A593">
        <v>63</v>
      </c>
      <c r="B593">
        <v>0</v>
      </c>
      <c r="C593">
        <v>0</v>
      </c>
      <c r="D593">
        <v>108</v>
      </c>
      <c r="E593">
        <v>269</v>
      </c>
      <c r="F593">
        <v>0</v>
      </c>
      <c r="G593">
        <v>1</v>
      </c>
      <c r="H593">
        <v>169</v>
      </c>
      <c r="I593">
        <v>1</v>
      </c>
      <c r="J593">
        <v>1.8</v>
      </c>
      <c r="K593">
        <v>1</v>
      </c>
      <c r="L593">
        <v>2</v>
      </c>
      <c r="M593">
        <v>2</v>
      </c>
      <c r="N593">
        <v>0</v>
      </c>
      <c r="O593" t="str">
        <f t="shared" si="54"/>
        <v>Female</v>
      </c>
      <c r="P593" t="str">
        <f t="shared" si="55"/>
        <v>No Disease</v>
      </c>
      <c r="Q593" t="str">
        <f t="shared" si="56"/>
        <v>Typical Angina</v>
      </c>
      <c r="R593" t="str">
        <f t="shared" si="57"/>
        <v>Normal</v>
      </c>
      <c r="S593" t="str">
        <f t="shared" si="58"/>
        <v>Yes</v>
      </c>
      <c r="T593" t="str" cm="1">
        <f t="array" ref="T593">_xlfn.IFS(A592&lt;30,"18-29",A592&lt;40,"30-39",A592&lt;50,"40-49",A592&lt;60,"50-59",A592&gt;=60,"60+")</f>
        <v>60+</v>
      </c>
      <c r="U593" t="str">
        <f t="shared" si="59"/>
        <v>Normal</v>
      </c>
    </row>
    <row r="594" spans="1:21">
      <c r="A594">
        <v>70</v>
      </c>
      <c r="B594">
        <v>1</v>
      </c>
      <c r="C594">
        <v>2</v>
      </c>
      <c r="D594">
        <v>160</v>
      </c>
      <c r="E594">
        <v>269</v>
      </c>
      <c r="F594">
        <v>0</v>
      </c>
      <c r="G594">
        <v>1</v>
      </c>
      <c r="H594">
        <v>112</v>
      </c>
      <c r="I594">
        <v>1</v>
      </c>
      <c r="J594">
        <v>2.9</v>
      </c>
      <c r="K594">
        <v>1</v>
      </c>
      <c r="L594">
        <v>1</v>
      </c>
      <c r="M594">
        <v>3</v>
      </c>
      <c r="N594">
        <v>0</v>
      </c>
      <c r="O594" t="str">
        <f t="shared" si="54"/>
        <v>Male</v>
      </c>
      <c r="P594" t="str">
        <f t="shared" si="55"/>
        <v>No Disease</v>
      </c>
      <c r="Q594" t="str">
        <f t="shared" si="56"/>
        <v>Non-Anginal Pain</v>
      </c>
      <c r="R594" t="str">
        <f t="shared" si="57"/>
        <v>Normal</v>
      </c>
      <c r="S594" t="str">
        <f t="shared" si="58"/>
        <v>Yes</v>
      </c>
      <c r="T594" t="str" cm="1">
        <f t="array" ref="T594">_xlfn.IFS(A593&lt;30,"18-29",A593&lt;40,"30-39",A593&lt;50,"40-49",A593&lt;60,"50-59",A593&gt;=60,"60+")</f>
        <v>60+</v>
      </c>
      <c r="U594" t="str">
        <f t="shared" si="59"/>
        <v>High (Stage 2)</v>
      </c>
    </row>
    <row r="595" spans="1:21">
      <c r="A595">
        <v>63</v>
      </c>
      <c r="B595">
        <v>0</v>
      </c>
      <c r="C595">
        <v>0</v>
      </c>
      <c r="D595">
        <v>108</v>
      </c>
      <c r="E595">
        <v>269</v>
      </c>
      <c r="F595">
        <v>0</v>
      </c>
      <c r="G595">
        <v>1</v>
      </c>
      <c r="H595">
        <v>169</v>
      </c>
      <c r="I595">
        <v>1</v>
      </c>
      <c r="J595">
        <v>1.8</v>
      </c>
      <c r="K595">
        <v>1</v>
      </c>
      <c r="L595">
        <v>2</v>
      </c>
      <c r="M595">
        <v>2</v>
      </c>
      <c r="N595">
        <v>0</v>
      </c>
      <c r="O595" t="str">
        <f t="shared" si="54"/>
        <v>Female</v>
      </c>
      <c r="P595" t="str">
        <f t="shared" si="55"/>
        <v>No Disease</v>
      </c>
      <c r="Q595" t="str">
        <f t="shared" si="56"/>
        <v>Typical Angina</v>
      </c>
      <c r="R595" t="str">
        <f t="shared" si="57"/>
        <v>Normal</v>
      </c>
      <c r="S595" t="str">
        <f t="shared" si="58"/>
        <v>Yes</v>
      </c>
      <c r="T595" t="str" cm="1">
        <f t="array" ref="T595">_xlfn.IFS(A594&lt;30,"18-29",A594&lt;40,"30-39",A594&lt;50,"40-49",A594&lt;60,"50-59",A594&gt;=60,"60+")</f>
        <v>60+</v>
      </c>
      <c r="U595" t="str">
        <f t="shared" si="59"/>
        <v>Normal</v>
      </c>
    </row>
    <row r="596" spans="1:21">
      <c r="A596">
        <v>64</v>
      </c>
      <c r="B596">
        <v>1</v>
      </c>
      <c r="C596">
        <v>0</v>
      </c>
      <c r="D596">
        <v>145</v>
      </c>
      <c r="E596">
        <v>212</v>
      </c>
      <c r="F596">
        <v>0</v>
      </c>
      <c r="G596">
        <v>0</v>
      </c>
      <c r="H596">
        <v>132</v>
      </c>
      <c r="I596">
        <v>0</v>
      </c>
      <c r="J596">
        <v>2</v>
      </c>
      <c r="K596">
        <v>1</v>
      </c>
      <c r="L596">
        <v>2</v>
      </c>
      <c r="M596">
        <v>1</v>
      </c>
      <c r="N596">
        <v>0</v>
      </c>
      <c r="O596" t="str">
        <f t="shared" si="54"/>
        <v>Male</v>
      </c>
      <c r="P596" t="str">
        <f t="shared" si="55"/>
        <v>No Disease</v>
      </c>
      <c r="Q596" t="str">
        <f t="shared" si="56"/>
        <v>Typical Angina</v>
      </c>
      <c r="R596" t="str">
        <f t="shared" si="57"/>
        <v>Normal</v>
      </c>
      <c r="S596" t="str">
        <f t="shared" si="58"/>
        <v>No</v>
      </c>
      <c r="T596" t="str" cm="1">
        <f t="array" ref="T596">_xlfn.IFS(A595&lt;30,"18-29",A595&lt;40,"30-39",A595&lt;50,"40-49",A595&lt;60,"50-59",A595&gt;=60,"60+")</f>
        <v>60+</v>
      </c>
      <c r="U596" t="str">
        <f t="shared" si="59"/>
        <v>High (Stage 2)</v>
      </c>
    </row>
    <row r="597" spans="1:21">
      <c r="A597">
        <v>61</v>
      </c>
      <c r="B597">
        <v>1</v>
      </c>
      <c r="C597">
        <v>0</v>
      </c>
      <c r="D597">
        <v>148</v>
      </c>
      <c r="E597">
        <v>203</v>
      </c>
      <c r="F597">
        <v>0</v>
      </c>
      <c r="G597">
        <v>1</v>
      </c>
      <c r="H597">
        <v>161</v>
      </c>
      <c r="I597">
        <v>0</v>
      </c>
      <c r="J597">
        <v>0</v>
      </c>
      <c r="K597">
        <v>2</v>
      </c>
      <c r="L597">
        <v>1</v>
      </c>
      <c r="M597">
        <v>3</v>
      </c>
      <c r="N597">
        <v>0</v>
      </c>
      <c r="O597" t="str">
        <f t="shared" si="54"/>
        <v>Male</v>
      </c>
      <c r="P597" t="str">
        <f t="shared" si="55"/>
        <v>No Disease</v>
      </c>
      <c r="Q597" t="str">
        <f t="shared" si="56"/>
        <v>Typical Angina</v>
      </c>
      <c r="R597" t="str">
        <f t="shared" si="57"/>
        <v>Normal</v>
      </c>
      <c r="S597" t="str">
        <f t="shared" si="58"/>
        <v>No</v>
      </c>
      <c r="T597" t="str" cm="1">
        <f t="array" ref="T597">_xlfn.IFS(A596&lt;30,"18-29",A596&lt;40,"30-39",A596&lt;50,"40-49",A596&lt;60,"50-59",A596&gt;=60,"60+")</f>
        <v>60+</v>
      </c>
      <c r="U597" t="str">
        <f t="shared" si="59"/>
        <v>High (Stage 2)</v>
      </c>
    </row>
    <row r="598" spans="1:21">
      <c r="A598">
        <v>59</v>
      </c>
      <c r="B598">
        <v>1</v>
      </c>
      <c r="C598">
        <v>1</v>
      </c>
      <c r="D598">
        <v>140</v>
      </c>
      <c r="E598">
        <v>221</v>
      </c>
      <c r="F598">
        <v>0</v>
      </c>
      <c r="G598">
        <v>1</v>
      </c>
      <c r="H598">
        <v>164</v>
      </c>
      <c r="I598">
        <v>1</v>
      </c>
      <c r="J598">
        <v>0</v>
      </c>
      <c r="K598">
        <v>2</v>
      </c>
      <c r="L598">
        <v>0</v>
      </c>
      <c r="M598">
        <v>2</v>
      </c>
      <c r="N598">
        <v>1</v>
      </c>
      <c r="O598" t="str">
        <f t="shared" si="54"/>
        <v>Male</v>
      </c>
      <c r="P598" t="str">
        <f t="shared" si="55"/>
        <v>Heart Disease</v>
      </c>
      <c r="Q598" t="str">
        <f t="shared" si="56"/>
        <v>Atypical Angina</v>
      </c>
      <c r="R598" t="str">
        <f t="shared" si="57"/>
        <v>Normal</v>
      </c>
      <c r="S598" t="str">
        <f t="shared" si="58"/>
        <v>Yes</v>
      </c>
      <c r="T598" t="str" cm="1">
        <f t="array" ref="T598">_xlfn.IFS(A597&lt;30,"18-29",A597&lt;40,"30-39",A597&lt;50,"40-49",A597&lt;60,"50-59",A597&gt;=60,"60+")</f>
        <v>60+</v>
      </c>
      <c r="U598" t="str">
        <f t="shared" si="59"/>
        <v>High (Stage 2)</v>
      </c>
    </row>
    <row r="599" spans="1:21">
      <c r="A599">
        <v>38</v>
      </c>
      <c r="B599">
        <v>1</v>
      </c>
      <c r="C599">
        <v>2</v>
      </c>
      <c r="D599">
        <v>138</v>
      </c>
      <c r="E599">
        <v>175</v>
      </c>
      <c r="F599">
        <v>0</v>
      </c>
      <c r="G599">
        <v>1</v>
      </c>
      <c r="H599">
        <v>173</v>
      </c>
      <c r="I599">
        <v>0</v>
      </c>
      <c r="J599">
        <v>0</v>
      </c>
      <c r="K599">
        <v>2</v>
      </c>
      <c r="L599">
        <v>4</v>
      </c>
      <c r="M599">
        <v>2</v>
      </c>
      <c r="N599">
        <v>1</v>
      </c>
      <c r="O599" t="str">
        <f t="shared" si="54"/>
        <v>Male</v>
      </c>
      <c r="P599" t="str">
        <f t="shared" si="55"/>
        <v>Heart Disease</v>
      </c>
      <c r="Q599" t="str">
        <f t="shared" si="56"/>
        <v>Non-Anginal Pain</v>
      </c>
      <c r="R599" t="str">
        <f t="shared" si="57"/>
        <v>Normal</v>
      </c>
      <c r="S599" t="str">
        <f t="shared" si="58"/>
        <v>No</v>
      </c>
      <c r="T599" t="str" cm="1">
        <f t="array" ref="T599">_xlfn.IFS(A598&lt;30,"18-29",A598&lt;40,"30-39",A598&lt;50,"40-49",A598&lt;60,"50-59",A598&gt;=60,"60+")</f>
        <v>50-59</v>
      </c>
      <c r="U599" t="str">
        <f t="shared" si="59"/>
        <v>High (Stage 1)</v>
      </c>
    </row>
    <row r="600" spans="1:21">
      <c r="A600">
        <v>58</v>
      </c>
      <c r="B600">
        <v>1</v>
      </c>
      <c r="C600">
        <v>1</v>
      </c>
      <c r="D600">
        <v>120</v>
      </c>
      <c r="E600">
        <v>284</v>
      </c>
      <c r="F600">
        <v>0</v>
      </c>
      <c r="G600">
        <v>0</v>
      </c>
      <c r="H600">
        <v>160</v>
      </c>
      <c r="I600">
        <v>0</v>
      </c>
      <c r="J600">
        <v>1.8</v>
      </c>
      <c r="K600">
        <v>1</v>
      </c>
      <c r="L600">
        <v>0</v>
      </c>
      <c r="M600">
        <v>2</v>
      </c>
      <c r="N600">
        <v>0</v>
      </c>
      <c r="O600" t="str">
        <f t="shared" si="54"/>
        <v>Male</v>
      </c>
      <c r="P600" t="str">
        <f t="shared" si="55"/>
        <v>No Disease</v>
      </c>
      <c r="Q600" t="str">
        <f t="shared" si="56"/>
        <v>Atypical Angina</v>
      </c>
      <c r="R600" t="str">
        <f t="shared" si="57"/>
        <v>Normal</v>
      </c>
      <c r="S600" t="str">
        <f t="shared" si="58"/>
        <v>No</v>
      </c>
      <c r="T600" t="str" cm="1">
        <f t="array" ref="T600">_xlfn.IFS(A599&lt;30,"18-29",A599&lt;40,"30-39",A599&lt;50,"40-49",A599&lt;60,"50-59",A599&gt;=60,"60+")</f>
        <v>30-39</v>
      </c>
      <c r="U600" t="str">
        <f t="shared" si="59"/>
        <v>Elevated</v>
      </c>
    </row>
    <row r="601" spans="1:21">
      <c r="A601">
        <v>63</v>
      </c>
      <c r="B601">
        <v>0</v>
      </c>
      <c r="C601">
        <v>1</v>
      </c>
      <c r="D601">
        <v>140</v>
      </c>
      <c r="E601">
        <v>195</v>
      </c>
      <c r="F601">
        <v>0</v>
      </c>
      <c r="G601">
        <v>1</v>
      </c>
      <c r="H601">
        <v>179</v>
      </c>
      <c r="I601">
        <v>0</v>
      </c>
      <c r="J601">
        <v>0</v>
      </c>
      <c r="K601">
        <v>2</v>
      </c>
      <c r="L601">
        <v>2</v>
      </c>
      <c r="M601">
        <v>2</v>
      </c>
      <c r="N601">
        <v>1</v>
      </c>
      <c r="O601" t="str">
        <f t="shared" si="54"/>
        <v>Female</v>
      </c>
      <c r="P601" t="str">
        <f t="shared" si="55"/>
        <v>Heart Disease</v>
      </c>
      <c r="Q601" t="str">
        <f t="shared" si="56"/>
        <v>Atypical Angina</v>
      </c>
      <c r="R601" t="str">
        <f t="shared" si="57"/>
        <v>Normal</v>
      </c>
      <c r="S601" t="str">
        <f t="shared" si="58"/>
        <v>No</v>
      </c>
      <c r="T601" t="str" cm="1">
        <f t="array" ref="T601">_xlfn.IFS(A600&lt;30,"18-29",A600&lt;40,"30-39",A600&lt;50,"40-49",A600&lt;60,"50-59",A600&gt;=60,"60+")</f>
        <v>50-59</v>
      </c>
      <c r="U601" t="str">
        <f t="shared" si="59"/>
        <v>High (Stage 2)</v>
      </c>
    </row>
    <row r="602" spans="1:21">
      <c r="A602">
        <v>62</v>
      </c>
      <c r="B602">
        <v>0</v>
      </c>
      <c r="C602">
        <v>2</v>
      </c>
      <c r="D602">
        <v>130</v>
      </c>
      <c r="E602">
        <v>263</v>
      </c>
      <c r="F602">
        <v>0</v>
      </c>
      <c r="G602">
        <v>1</v>
      </c>
      <c r="H602">
        <v>97</v>
      </c>
      <c r="I602">
        <v>0</v>
      </c>
      <c r="J602">
        <v>1.2</v>
      </c>
      <c r="K602">
        <v>1</v>
      </c>
      <c r="L602">
        <v>1</v>
      </c>
      <c r="M602">
        <v>3</v>
      </c>
      <c r="N602">
        <v>0</v>
      </c>
      <c r="O602" t="str">
        <f t="shared" si="54"/>
        <v>Female</v>
      </c>
      <c r="P602" t="str">
        <f t="shared" si="55"/>
        <v>No Disease</v>
      </c>
      <c r="Q602" t="str">
        <f t="shared" si="56"/>
        <v>Non-Anginal Pain</v>
      </c>
      <c r="R602" t="str">
        <f t="shared" si="57"/>
        <v>Normal</v>
      </c>
      <c r="S602" t="str">
        <f t="shared" si="58"/>
        <v>No</v>
      </c>
      <c r="T602" t="str" cm="1">
        <f t="array" ref="T602">_xlfn.IFS(A601&lt;30,"18-29",A601&lt;40,"30-39",A601&lt;50,"40-49",A601&lt;60,"50-59",A601&gt;=60,"60+")</f>
        <v>60+</v>
      </c>
      <c r="U602" t="str">
        <f t="shared" si="59"/>
        <v>High (Stage 1)</v>
      </c>
    </row>
    <row r="603" spans="1:21">
      <c r="A603">
        <v>46</v>
      </c>
      <c r="B603">
        <v>1</v>
      </c>
      <c r="C603">
        <v>0</v>
      </c>
      <c r="D603">
        <v>140</v>
      </c>
      <c r="E603">
        <v>311</v>
      </c>
      <c r="F603">
        <v>0</v>
      </c>
      <c r="G603">
        <v>1</v>
      </c>
      <c r="H603">
        <v>120</v>
      </c>
      <c r="I603">
        <v>1</v>
      </c>
      <c r="J603">
        <v>1.8</v>
      </c>
      <c r="K603">
        <v>1</v>
      </c>
      <c r="L603">
        <v>2</v>
      </c>
      <c r="M603">
        <v>3</v>
      </c>
      <c r="N603">
        <v>0</v>
      </c>
      <c r="O603" t="str">
        <f t="shared" si="54"/>
        <v>Male</v>
      </c>
      <c r="P603" t="str">
        <f t="shared" si="55"/>
        <v>No Disease</v>
      </c>
      <c r="Q603" t="str">
        <f t="shared" si="56"/>
        <v>Typical Angina</v>
      </c>
      <c r="R603" t="str">
        <f t="shared" si="57"/>
        <v>Normal</v>
      </c>
      <c r="S603" t="str">
        <f t="shared" si="58"/>
        <v>Yes</v>
      </c>
      <c r="T603" t="str" cm="1">
        <f t="array" ref="T603">_xlfn.IFS(A602&lt;30,"18-29",A602&lt;40,"30-39",A602&lt;50,"40-49",A602&lt;60,"50-59",A602&gt;=60,"60+")</f>
        <v>60+</v>
      </c>
      <c r="U603" t="str">
        <f t="shared" si="59"/>
        <v>High (Stage 2)</v>
      </c>
    </row>
    <row r="604" spans="1:21">
      <c r="A604">
        <v>58</v>
      </c>
      <c r="B604">
        <v>0</v>
      </c>
      <c r="C604">
        <v>2</v>
      </c>
      <c r="D604">
        <v>120</v>
      </c>
      <c r="E604">
        <v>340</v>
      </c>
      <c r="F604">
        <v>0</v>
      </c>
      <c r="G604">
        <v>1</v>
      </c>
      <c r="H604">
        <v>172</v>
      </c>
      <c r="I604">
        <v>0</v>
      </c>
      <c r="J604">
        <v>0</v>
      </c>
      <c r="K604">
        <v>2</v>
      </c>
      <c r="L604">
        <v>0</v>
      </c>
      <c r="M604">
        <v>2</v>
      </c>
      <c r="N604">
        <v>1</v>
      </c>
      <c r="O604" t="str">
        <f t="shared" si="54"/>
        <v>Female</v>
      </c>
      <c r="P604" t="str">
        <f t="shared" si="55"/>
        <v>Heart Disease</v>
      </c>
      <c r="Q604" t="str">
        <f t="shared" si="56"/>
        <v>Non-Anginal Pain</v>
      </c>
      <c r="R604" t="str">
        <f t="shared" si="57"/>
        <v>Normal</v>
      </c>
      <c r="S604" t="str">
        <f t="shared" si="58"/>
        <v>No</v>
      </c>
      <c r="T604" t="str" cm="1">
        <f t="array" ref="T604">_xlfn.IFS(A603&lt;30,"18-29",A603&lt;40,"30-39",A603&lt;50,"40-49",A603&lt;60,"50-59",A603&gt;=60,"60+")</f>
        <v>40-49</v>
      </c>
      <c r="U604" t="str">
        <f t="shared" si="59"/>
        <v>Elevated</v>
      </c>
    </row>
    <row r="605" spans="1:21">
      <c r="A605">
        <v>63</v>
      </c>
      <c r="B605">
        <v>0</v>
      </c>
      <c r="C605">
        <v>1</v>
      </c>
      <c r="D605">
        <v>140</v>
      </c>
      <c r="E605">
        <v>195</v>
      </c>
      <c r="F605">
        <v>0</v>
      </c>
      <c r="G605">
        <v>1</v>
      </c>
      <c r="H605">
        <v>179</v>
      </c>
      <c r="I605">
        <v>0</v>
      </c>
      <c r="J605">
        <v>0</v>
      </c>
      <c r="K605">
        <v>2</v>
      </c>
      <c r="L605">
        <v>2</v>
      </c>
      <c r="M605">
        <v>2</v>
      </c>
      <c r="N605">
        <v>1</v>
      </c>
      <c r="O605" t="str">
        <f t="shared" si="54"/>
        <v>Female</v>
      </c>
      <c r="P605" t="str">
        <f t="shared" si="55"/>
        <v>Heart Disease</v>
      </c>
      <c r="Q605" t="str">
        <f t="shared" si="56"/>
        <v>Atypical Angina</v>
      </c>
      <c r="R605" t="str">
        <f t="shared" si="57"/>
        <v>Normal</v>
      </c>
      <c r="S605" t="str">
        <f t="shared" si="58"/>
        <v>No</v>
      </c>
      <c r="T605" t="str" cm="1">
        <f t="array" ref="T605">_xlfn.IFS(A604&lt;30,"18-29",A604&lt;40,"30-39",A604&lt;50,"40-49",A604&lt;60,"50-59",A604&gt;=60,"60+")</f>
        <v>50-59</v>
      </c>
      <c r="U605" t="str">
        <f t="shared" si="59"/>
        <v>High (Stage 2)</v>
      </c>
    </row>
    <row r="606" spans="1:21">
      <c r="A606">
        <v>47</v>
      </c>
      <c r="B606">
        <v>1</v>
      </c>
      <c r="C606">
        <v>2</v>
      </c>
      <c r="D606">
        <v>130</v>
      </c>
      <c r="E606">
        <v>253</v>
      </c>
      <c r="F606">
        <v>0</v>
      </c>
      <c r="G606">
        <v>1</v>
      </c>
      <c r="H606">
        <v>179</v>
      </c>
      <c r="I606">
        <v>0</v>
      </c>
      <c r="J606">
        <v>0</v>
      </c>
      <c r="K606">
        <v>2</v>
      </c>
      <c r="L606">
        <v>0</v>
      </c>
      <c r="M606">
        <v>2</v>
      </c>
      <c r="N606">
        <v>1</v>
      </c>
      <c r="O606" t="str">
        <f t="shared" si="54"/>
        <v>Male</v>
      </c>
      <c r="P606" t="str">
        <f t="shared" si="55"/>
        <v>Heart Disease</v>
      </c>
      <c r="Q606" t="str">
        <f t="shared" si="56"/>
        <v>Non-Anginal Pain</v>
      </c>
      <c r="R606" t="str">
        <f t="shared" si="57"/>
        <v>Normal</v>
      </c>
      <c r="S606" t="str">
        <f t="shared" si="58"/>
        <v>No</v>
      </c>
      <c r="T606" t="str" cm="1">
        <f t="array" ref="T606">_xlfn.IFS(A605&lt;30,"18-29",A605&lt;40,"30-39",A605&lt;50,"40-49",A605&lt;60,"50-59",A605&gt;=60,"60+")</f>
        <v>60+</v>
      </c>
      <c r="U606" t="str">
        <f t="shared" si="59"/>
        <v>High (Stage 1)</v>
      </c>
    </row>
    <row r="607" spans="1:21">
      <c r="A607">
        <v>71</v>
      </c>
      <c r="B607">
        <v>0</v>
      </c>
      <c r="C607">
        <v>2</v>
      </c>
      <c r="D607">
        <v>110</v>
      </c>
      <c r="E607">
        <v>265</v>
      </c>
      <c r="F607">
        <v>1</v>
      </c>
      <c r="G607">
        <v>0</v>
      </c>
      <c r="H607">
        <v>130</v>
      </c>
      <c r="I607">
        <v>0</v>
      </c>
      <c r="J607">
        <v>0</v>
      </c>
      <c r="K607">
        <v>2</v>
      </c>
      <c r="L607">
        <v>1</v>
      </c>
      <c r="M607">
        <v>2</v>
      </c>
      <c r="N607">
        <v>1</v>
      </c>
      <c r="O607" t="str">
        <f t="shared" si="54"/>
        <v>Female</v>
      </c>
      <c r="P607" t="str">
        <f t="shared" si="55"/>
        <v>Heart Disease</v>
      </c>
      <c r="Q607" t="str">
        <f t="shared" si="56"/>
        <v>Non-Anginal Pain</v>
      </c>
      <c r="R607" t="str">
        <f t="shared" si="57"/>
        <v>High</v>
      </c>
      <c r="S607" t="str">
        <f t="shared" si="58"/>
        <v>No</v>
      </c>
      <c r="T607" t="str" cm="1">
        <f t="array" ref="T607">_xlfn.IFS(A606&lt;30,"18-29",A606&lt;40,"30-39",A606&lt;50,"40-49",A606&lt;60,"50-59",A606&gt;=60,"60+")</f>
        <v>40-49</v>
      </c>
      <c r="U607" t="str">
        <f t="shared" si="59"/>
        <v>Normal</v>
      </c>
    </row>
    <row r="608" spans="1:21">
      <c r="A608">
        <v>66</v>
      </c>
      <c r="B608">
        <v>1</v>
      </c>
      <c r="C608">
        <v>0</v>
      </c>
      <c r="D608">
        <v>112</v>
      </c>
      <c r="E608">
        <v>212</v>
      </c>
      <c r="F608">
        <v>0</v>
      </c>
      <c r="G608">
        <v>0</v>
      </c>
      <c r="H608">
        <v>132</v>
      </c>
      <c r="I608">
        <v>1</v>
      </c>
      <c r="J608">
        <v>0.1</v>
      </c>
      <c r="K608">
        <v>2</v>
      </c>
      <c r="L608">
        <v>1</v>
      </c>
      <c r="M608">
        <v>2</v>
      </c>
      <c r="N608">
        <v>0</v>
      </c>
      <c r="O608" t="str">
        <f t="shared" si="54"/>
        <v>Male</v>
      </c>
      <c r="P608" t="str">
        <f t="shared" si="55"/>
        <v>No Disease</v>
      </c>
      <c r="Q608" t="str">
        <f t="shared" si="56"/>
        <v>Typical Angina</v>
      </c>
      <c r="R608" t="str">
        <f t="shared" si="57"/>
        <v>Normal</v>
      </c>
      <c r="S608" t="str">
        <f t="shared" si="58"/>
        <v>Yes</v>
      </c>
      <c r="T608" t="str" cm="1">
        <f t="array" ref="T608">_xlfn.IFS(A607&lt;30,"18-29",A607&lt;40,"30-39",A607&lt;50,"40-49",A607&lt;60,"50-59",A607&gt;=60,"60+")</f>
        <v>60+</v>
      </c>
      <c r="U608" t="str">
        <f t="shared" si="59"/>
        <v>Normal</v>
      </c>
    </row>
    <row r="609" spans="1:21">
      <c r="A609">
        <v>42</v>
      </c>
      <c r="B609">
        <v>1</v>
      </c>
      <c r="C609">
        <v>0</v>
      </c>
      <c r="D609">
        <v>136</v>
      </c>
      <c r="E609">
        <v>315</v>
      </c>
      <c r="F609">
        <v>0</v>
      </c>
      <c r="G609">
        <v>1</v>
      </c>
      <c r="H609">
        <v>125</v>
      </c>
      <c r="I609">
        <v>1</v>
      </c>
      <c r="J609">
        <v>1.8</v>
      </c>
      <c r="K609">
        <v>1</v>
      </c>
      <c r="L609">
        <v>0</v>
      </c>
      <c r="M609">
        <v>1</v>
      </c>
      <c r="N609">
        <v>0</v>
      </c>
      <c r="O609" t="str">
        <f t="shared" si="54"/>
        <v>Male</v>
      </c>
      <c r="P609" t="str">
        <f t="shared" si="55"/>
        <v>No Disease</v>
      </c>
      <c r="Q609" t="str">
        <f t="shared" si="56"/>
        <v>Typical Angina</v>
      </c>
      <c r="R609" t="str">
        <f t="shared" si="57"/>
        <v>Normal</v>
      </c>
      <c r="S609" t="str">
        <f t="shared" si="58"/>
        <v>Yes</v>
      </c>
      <c r="T609" t="str" cm="1">
        <f t="array" ref="T609">_xlfn.IFS(A608&lt;30,"18-29",A608&lt;40,"30-39",A608&lt;50,"40-49",A608&lt;60,"50-59",A608&gt;=60,"60+")</f>
        <v>60+</v>
      </c>
      <c r="U609" t="str">
        <f t="shared" si="59"/>
        <v>High (Stage 1)</v>
      </c>
    </row>
    <row r="610" spans="1:21">
      <c r="A610">
        <v>64</v>
      </c>
      <c r="B610">
        <v>1</v>
      </c>
      <c r="C610">
        <v>0</v>
      </c>
      <c r="D610">
        <v>145</v>
      </c>
      <c r="E610">
        <v>212</v>
      </c>
      <c r="F610">
        <v>0</v>
      </c>
      <c r="G610">
        <v>0</v>
      </c>
      <c r="H610">
        <v>132</v>
      </c>
      <c r="I610">
        <v>0</v>
      </c>
      <c r="J610">
        <v>2</v>
      </c>
      <c r="K610">
        <v>1</v>
      </c>
      <c r="L610">
        <v>2</v>
      </c>
      <c r="M610">
        <v>1</v>
      </c>
      <c r="N610">
        <v>0</v>
      </c>
      <c r="O610" t="str">
        <f t="shared" si="54"/>
        <v>Male</v>
      </c>
      <c r="P610" t="str">
        <f t="shared" si="55"/>
        <v>No Disease</v>
      </c>
      <c r="Q610" t="str">
        <f t="shared" si="56"/>
        <v>Typical Angina</v>
      </c>
      <c r="R610" t="str">
        <f t="shared" si="57"/>
        <v>Normal</v>
      </c>
      <c r="S610" t="str">
        <f t="shared" si="58"/>
        <v>No</v>
      </c>
      <c r="T610" t="str" cm="1">
        <f t="array" ref="T610">_xlfn.IFS(A609&lt;30,"18-29",A609&lt;40,"30-39",A609&lt;50,"40-49",A609&lt;60,"50-59",A609&gt;=60,"60+")</f>
        <v>40-49</v>
      </c>
      <c r="U610" t="str">
        <f t="shared" si="59"/>
        <v>High (Stage 2)</v>
      </c>
    </row>
    <row r="611" spans="1:21">
      <c r="A611">
        <v>55</v>
      </c>
      <c r="B611">
        <v>0</v>
      </c>
      <c r="C611">
        <v>0</v>
      </c>
      <c r="D611">
        <v>180</v>
      </c>
      <c r="E611">
        <v>327</v>
      </c>
      <c r="F611">
        <v>0</v>
      </c>
      <c r="G611">
        <v>2</v>
      </c>
      <c r="H611">
        <v>117</v>
      </c>
      <c r="I611">
        <v>1</v>
      </c>
      <c r="J611">
        <v>3.4</v>
      </c>
      <c r="K611">
        <v>1</v>
      </c>
      <c r="L611">
        <v>0</v>
      </c>
      <c r="M611">
        <v>2</v>
      </c>
      <c r="N611">
        <v>0</v>
      </c>
      <c r="O611" t="str">
        <f t="shared" si="54"/>
        <v>Female</v>
      </c>
      <c r="P611" t="str">
        <f t="shared" si="55"/>
        <v>No Disease</v>
      </c>
      <c r="Q611" t="str">
        <f t="shared" si="56"/>
        <v>Typical Angina</v>
      </c>
      <c r="R611" t="str">
        <f t="shared" si="57"/>
        <v>Normal</v>
      </c>
      <c r="S611" t="str">
        <f t="shared" si="58"/>
        <v>Yes</v>
      </c>
      <c r="T611" t="str" cm="1">
        <f t="array" ref="T611">_xlfn.IFS(A610&lt;30,"18-29",A610&lt;40,"30-39",A610&lt;50,"40-49",A610&lt;60,"50-59",A610&gt;=60,"60+")</f>
        <v>60+</v>
      </c>
      <c r="U611" t="str">
        <f t="shared" si="59"/>
        <v>High (Stage 2)</v>
      </c>
    </row>
    <row r="612" spans="1:21">
      <c r="A612">
        <v>43</v>
      </c>
      <c r="B612">
        <v>0</v>
      </c>
      <c r="C612">
        <v>0</v>
      </c>
      <c r="D612">
        <v>132</v>
      </c>
      <c r="E612">
        <v>341</v>
      </c>
      <c r="F612">
        <v>1</v>
      </c>
      <c r="G612">
        <v>0</v>
      </c>
      <c r="H612">
        <v>136</v>
      </c>
      <c r="I612">
        <v>1</v>
      </c>
      <c r="J612">
        <v>3</v>
      </c>
      <c r="K612">
        <v>1</v>
      </c>
      <c r="L612">
        <v>0</v>
      </c>
      <c r="M612">
        <v>3</v>
      </c>
      <c r="N612">
        <v>0</v>
      </c>
      <c r="O612" t="str">
        <f t="shared" si="54"/>
        <v>Female</v>
      </c>
      <c r="P612" t="str">
        <f t="shared" si="55"/>
        <v>No Disease</v>
      </c>
      <c r="Q612" t="str">
        <f t="shared" si="56"/>
        <v>Typical Angina</v>
      </c>
      <c r="R612" t="str">
        <f t="shared" si="57"/>
        <v>High</v>
      </c>
      <c r="S612" t="str">
        <f t="shared" si="58"/>
        <v>Yes</v>
      </c>
      <c r="T612" t="str" cm="1">
        <f t="array" ref="T612">_xlfn.IFS(A611&lt;30,"18-29",A611&lt;40,"30-39",A611&lt;50,"40-49",A611&lt;60,"50-59",A611&gt;=60,"60+")</f>
        <v>50-59</v>
      </c>
      <c r="U612" t="str">
        <f t="shared" si="59"/>
        <v>High (Stage 1)</v>
      </c>
    </row>
    <row r="613" spans="1:21">
      <c r="A613">
        <v>55</v>
      </c>
      <c r="B613">
        <v>0</v>
      </c>
      <c r="C613">
        <v>0</v>
      </c>
      <c r="D613">
        <v>128</v>
      </c>
      <c r="E613">
        <v>205</v>
      </c>
      <c r="F613">
        <v>0</v>
      </c>
      <c r="G613">
        <v>2</v>
      </c>
      <c r="H613">
        <v>130</v>
      </c>
      <c r="I613">
        <v>1</v>
      </c>
      <c r="J613">
        <v>2</v>
      </c>
      <c r="K613">
        <v>1</v>
      </c>
      <c r="L613">
        <v>1</v>
      </c>
      <c r="M613">
        <v>3</v>
      </c>
      <c r="N613">
        <v>0</v>
      </c>
      <c r="O613" t="str">
        <f t="shared" si="54"/>
        <v>Female</v>
      </c>
      <c r="P613" t="str">
        <f t="shared" si="55"/>
        <v>No Disease</v>
      </c>
      <c r="Q613" t="str">
        <f t="shared" si="56"/>
        <v>Typical Angina</v>
      </c>
      <c r="R613" t="str">
        <f t="shared" si="57"/>
        <v>Normal</v>
      </c>
      <c r="S613" t="str">
        <f t="shared" si="58"/>
        <v>Yes</v>
      </c>
      <c r="T613" t="str" cm="1">
        <f t="array" ref="T613">_xlfn.IFS(A612&lt;30,"18-29",A612&lt;40,"30-39",A612&lt;50,"40-49",A612&lt;60,"50-59",A612&gt;=60,"60+")</f>
        <v>40-49</v>
      </c>
      <c r="U613" t="str">
        <f t="shared" si="59"/>
        <v>Elevated</v>
      </c>
    </row>
    <row r="614" spans="1:21">
      <c r="A614">
        <v>58</v>
      </c>
      <c r="B614">
        <v>0</v>
      </c>
      <c r="C614">
        <v>0</v>
      </c>
      <c r="D614">
        <v>170</v>
      </c>
      <c r="E614">
        <v>225</v>
      </c>
      <c r="F614">
        <v>1</v>
      </c>
      <c r="G614">
        <v>0</v>
      </c>
      <c r="H614">
        <v>146</v>
      </c>
      <c r="I614">
        <v>1</v>
      </c>
      <c r="J614">
        <v>2.8</v>
      </c>
      <c r="K614">
        <v>1</v>
      </c>
      <c r="L614">
        <v>2</v>
      </c>
      <c r="M614">
        <v>1</v>
      </c>
      <c r="N614">
        <v>0</v>
      </c>
      <c r="O614" t="str">
        <f t="shared" si="54"/>
        <v>Female</v>
      </c>
      <c r="P614" t="str">
        <f t="shared" si="55"/>
        <v>No Disease</v>
      </c>
      <c r="Q614" t="str">
        <f t="shared" si="56"/>
        <v>Typical Angina</v>
      </c>
      <c r="R614" t="str">
        <f t="shared" si="57"/>
        <v>High</v>
      </c>
      <c r="S614" t="str">
        <f t="shared" si="58"/>
        <v>Yes</v>
      </c>
      <c r="T614" t="str" cm="1">
        <f t="array" ref="T614">_xlfn.IFS(A613&lt;30,"18-29",A613&lt;40,"30-39",A613&lt;50,"40-49",A613&lt;60,"50-59",A613&gt;=60,"60+")</f>
        <v>50-59</v>
      </c>
      <c r="U614" t="str">
        <f t="shared" si="59"/>
        <v>High (Stage 2)</v>
      </c>
    </row>
    <row r="615" spans="1:21">
      <c r="A615">
        <v>55</v>
      </c>
      <c r="B615">
        <v>1</v>
      </c>
      <c r="C615">
        <v>0</v>
      </c>
      <c r="D615">
        <v>140</v>
      </c>
      <c r="E615">
        <v>217</v>
      </c>
      <c r="F615">
        <v>0</v>
      </c>
      <c r="G615">
        <v>1</v>
      </c>
      <c r="H615">
        <v>111</v>
      </c>
      <c r="I615">
        <v>1</v>
      </c>
      <c r="J615">
        <v>5.6</v>
      </c>
      <c r="K615">
        <v>0</v>
      </c>
      <c r="L615">
        <v>0</v>
      </c>
      <c r="M615">
        <v>3</v>
      </c>
      <c r="N615">
        <v>0</v>
      </c>
      <c r="O615" t="str">
        <f t="shared" si="54"/>
        <v>Male</v>
      </c>
      <c r="P615" t="str">
        <f t="shared" si="55"/>
        <v>No Disease</v>
      </c>
      <c r="Q615" t="str">
        <f t="shared" si="56"/>
        <v>Typical Angina</v>
      </c>
      <c r="R615" t="str">
        <f t="shared" si="57"/>
        <v>Normal</v>
      </c>
      <c r="S615" t="str">
        <f t="shared" si="58"/>
        <v>Yes</v>
      </c>
      <c r="T615" t="str" cm="1">
        <f t="array" ref="T615">_xlfn.IFS(A614&lt;30,"18-29",A614&lt;40,"30-39",A614&lt;50,"40-49",A614&lt;60,"50-59",A614&gt;=60,"60+")</f>
        <v>50-59</v>
      </c>
      <c r="U615" t="str">
        <f t="shared" si="59"/>
        <v>High (Stage 2)</v>
      </c>
    </row>
    <row r="616" spans="1:21">
      <c r="A616">
        <v>51</v>
      </c>
      <c r="B616">
        <v>0</v>
      </c>
      <c r="C616">
        <v>0</v>
      </c>
      <c r="D616">
        <v>130</v>
      </c>
      <c r="E616">
        <v>305</v>
      </c>
      <c r="F616">
        <v>0</v>
      </c>
      <c r="G616">
        <v>1</v>
      </c>
      <c r="H616">
        <v>142</v>
      </c>
      <c r="I616">
        <v>1</v>
      </c>
      <c r="J616">
        <v>1.2</v>
      </c>
      <c r="K616">
        <v>1</v>
      </c>
      <c r="L616">
        <v>0</v>
      </c>
      <c r="M616">
        <v>3</v>
      </c>
      <c r="N616">
        <v>0</v>
      </c>
      <c r="O616" t="str">
        <f t="shared" si="54"/>
        <v>Female</v>
      </c>
      <c r="P616" t="str">
        <f t="shared" si="55"/>
        <v>No Disease</v>
      </c>
      <c r="Q616" t="str">
        <f t="shared" si="56"/>
        <v>Typical Angina</v>
      </c>
      <c r="R616" t="str">
        <f t="shared" si="57"/>
        <v>Normal</v>
      </c>
      <c r="S616" t="str">
        <f t="shared" si="58"/>
        <v>Yes</v>
      </c>
      <c r="T616" t="str" cm="1">
        <f t="array" ref="T616">_xlfn.IFS(A615&lt;30,"18-29",A615&lt;40,"30-39",A615&lt;50,"40-49",A615&lt;60,"50-59",A615&gt;=60,"60+")</f>
        <v>50-59</v>
      </c>
      <c r="U616" t="str">
        <f t="shared" si="59"/>
        <v>High (Stage 1)</v>
      </c>
    </row>
    <row r="617" spans="1:21">
      <c r="A617">
        <v>50</v>
      </c>
      <c r="B617">
        <v>0</v>
      </c>
      <c r="C617">
        <v>2</v>
      </c>
      <c r="D617">
        <v>120</v>
      </c>
      <c r="E617">
        <v>219</v>
      </c>
      <c r="F617">
        <v>0</v>
      </c>
      <c r="G617">
        <v>1</v>
      </c>
      <c r="H617">
        <v>158</v>
      </c>
      <c r="I617">
        <v>0</v>
      </c>
      <c r="J617">
        <v>1.6</v>
      </c>
      <c r="K617">
        <v>1</v>
      </c>
      <c r="L617">
        <v>0</v>
      </c>
      <c r="M617">
        <v>2</v>
      </c>
      <c r="N617">
        <v>1</v>
      </c>
      <c r="O617" t="str">
        <f t="shared" si="54"/>
        <v>Female</v>
      </c>
      <c r="P617" t="str">
        <f t="shared" si="55"/>
        <v>Heart Disease</v>
      </c>
      <c r="Q617" t="str">
        <f t="shared" si="56"/>
        <v>Non-Anginal Pain</v>
      </c>
      <c r="R617" t="str">
        <f t="shared" si="57"/>
        <v>Normal</v>
      </c>
      <c r="S617" t="str">
        <f t="shared" si="58"/>
        <v>No</v>
      </c>
      <c r="T617" t="str" cm="1">
        <f t="array" ref="T617">_xlfn.IFS(A616&lt;30,"18-29",A616&lt;40,"30-39",A616&lt;50,"40-49",A616&lt;60,"50-59",A616&gt;=60,"60+")</f>
        <v>50-59</v>
      </c>
      <c r="U617" t="str">
        <f t="shared" si="59"/>
        <v>Elevated</v>
      </c>
    </row>
    <row r="618" spans="1:21">
      <c r="A618">
        <v>43</v>
      </c>
      <c r="B618">
        <v>1</v>
      </c>
      <c r="C618">
        <v>0</v>
      </c>
      <c r="D618">
        <v>115</v>
      </c>
      <c r="E618">
        <v>303</v>
      </c>
      <c r="F618">
        <v>0</v>
      </c>
      <c r="G618">
        <v>1</v>
      </c>
      <c r="H618">
        <v>181</v>
      </c>
      <c r="I618">
        <v>0</v>
      </c>
      <c r="J618">
        <v>1.2</v>
      </c>
      <c r="K618">
        <v>1</v>
      </c>
      <c r="L618">
        <v>0</v>
      </c>
      <c r="M618">
        <v>2</v>
      </c>
      <c r="N618">
        <v>1</v>
      </c>
      <c r="O618" t="str">
        <f t="shared" si="54"/>
        <v>Male</v>
      </c>
      <c r="P618" t="str">
        <f t="shared" si="55"/>
        <v>Heart Disease</v>
      </c>
      <c r="Q618" t="str">
        <f t="shared" si="56"/>
        <v>Typical Angina</v>
      </c>
      <c r="R618" t="str">
        <f t="shared" si="57"/>
        <v>Normal</v>
      </c>
      <c r="S618" t="str">
        <f t="shared" si="58"/>
        <v>No</v>
      </c>
      <c r="T618" t="str" cm="1">
        <f t="array" ref="T618">_xlfn.IFS(A617&lt;30,"18-29",A617&lt;40,"30-39",A617&lt;50,"40-49",A617&lt;60,"50-59",A617&gt;=60,"60+")</f>
        <v>50-59</v>
      </c>
      <c r="U618" t="str">
        <f t="shared" si="59"/>
        <v>Normal</v>
      </c>
    </row>
    <row r="619" spans="1:21">
      <c r="A619">
        <v>41</v>
      </c>
      <c r="B619">
        <v>0</v>
      </c>
      <c r="C619">
        <v>1</v>
      </c>
      <c r="D619">
        <v>126</v>
      </c>
      <c r="E619">
        <v>306</v>
      </c>
      <c r="F619">
        <v>0</v>
      </c>
      <c r="G619">
        <v>1</v>
      </c>
      <c r="H619">
        <v>163</v>
      </c>
      <c r="I619">
        <v>0</v>
      </c>
      <c r="J619">
        <v>0</v>
      </c>
      <c r="K619">
        <v>2</v>
      </c>
      <c r="L619">
        <v>0</v>
      </c>
      <c r="M619">
        <v>2</v>
      </c>
      <c r="N619">
        <v>1</v>
      </c>
      <c r="O619" t="str">
        <f t="shared" si="54"/>
        <v>Female</v>
      </c>
      <c r="P619" t="str">
        <f t="shared" si="55"/>
        <v>Heart Disease</v>
      </c>
      <c r="Q619" t="str">
        <f t="shared" si="56"/>
        <v>Atypical Angina</v>
      </c>
      <c r="R619" t="str">
        <f t="shared" si="57"/>
        <v>Normal</v>
      </c>
      <c r="S619" t="str">
        <f t="shared" si="58"/>
        <v>No</v>
      </c>
      <c r="T619" t="str" cm="1">
        <f t="array" ref="T619">_xlfn.IFS(A618&lt;30,"18-29",A618&lt;40,"30-39",A618&lt;50,"40-49",A618&lt;60,"50-59",A618&gt;=60,"60+")</f>
        <v>40-49</v>
      </c>
      <c r="U619" t="str">
        <f t="shared" si="59"/>
        <v>Elevated</v>
      </c>
    </row>
    <row r="620" spans="1:21">
      <c r="A620">
        <v>49</v>
      </c>
      <c r="B620">
        <v>1</v>
      </c>
      <c r="C620">
        <v>1</v>
      </c>
      <c r="D620">
        <v>130</v>
      </c>
      <c r="E620">
        <v>266</v>
      </c>
      <c r="F620">
        <v>0</v>
      </c>
      <c r="G620">
        <v>1</v>
      </c>
      <c r="H620">
        <v>171</v>
      </c>
      <c r="I620">
        <v>0</v>
      </c>
      <c r="J620">
        <v>0.6</v>
      </c>
      <c r="K620">
        <v>2</v>
      </c>
      <c r="L620">
        <v>0</v>
      </c>
      <c r="M620">
        <v>2</v>
      </c>
      <c r="N620">
        <v>1</v>
      </c>
      <c r="O620" t="str">
        <f t="shared" si="54"/>
        <v>Male</v>
      </c>
      <c r="P620" t="str">
        <f t="shared" si="55"/>
        <v>Heart Disease</v>
      </c>
      <c r="Q620" t="str">
        <f t="shared" si="56"/>
        <v>Atypical Angina</v>
      </c>
      <c r="R620" t="str">
        <f t="shared" si="57"/>
        <v>Normal</v>
      </c>
      <c r="S620" t="str">
        <f t="shared" si="58"/>
        <v>No</v>
      </c>
      <c r="T620" t="str" cm="1">
        <f t="array" ref="T620">_xlfn.IFS(A619&lt;30,"18-29",A619&lt;40,"30-39",A619&lt;50,"40-49",A619&lt;60,"50-59",A619&gt;=60,"60+")</f>
        <v>40-49</v>
      </c>
      <c r="U620" t="str">
        <f t="shared" si="59"/>
        <v>High (Stage 1)</v>
      </c>
    </row>
    <row r="621" spans="1:21">
      <c r="A621">
        <v>65</v>
      </c>
      <c r="B621">
        <v>1</v>
      </c>
      <c r="C621">
        <v>0</v>
      </c>
      <c r="D621">
        <v>110</v>
      </c>
      <c r="E621">
        <v>248</v>
      </c>
      <c r="F621">
        <v>0</v>
      </c>
      <c r="G621">
        <v>0</v>
      </c>
      <c r="H621">
        <v>158</v>
      </c>
      <c r="I621">
        <v>0</v>
      </c>
      <c r="J621">
        <v>0.6</v>
      </c>
      <c r="K621">
        <v>2</v>
      </c>
      <c r="L621">
        <v>2</v>
      </c>
      <c r="M621">
        <v>1</v>
      </c>
      <c r="N621">
        <v>0</v>
      </c>
      <c r="O621" t="str">
        <f t="shared" si="54"/>
        <v>Male</v>
      </c>
      <c r="P621" t="str">
        <f t="shared" si="55"/>
        <v>No Disease</v>
      </c>
      <c r="Q621" t="str">
        <f t="shared" si="56"/>
        <v>Typical Angina</v>
      </c>
      <c r="R621" t="str">
        <f t="shared" si="57"/>
        <v>Normal</v>
      </c>
      <c r="S621" t="str">
        <f t="shared" si="58"/>
        <v>No</v>
      </c>
      <c r="T621" t="str" cm="1">
        <f t="array" ref="T621">_xlfn.IFS(A620&lt;30,"18-29",A620&lt;40,"30-39",A620&lt;50,"40-49",A620&lt;60,"50-59",A620&gt;=60,"60+")</f>
        <v>40-49</v>
      </c>
      <c r="U621" t="str">
        <f t="shared" si="59"/>
        <v>Normal</v>
      </c>
    </row>
    <row r="622" spans="1:21">
      <c r="A622">
        <v>57</v>
      </c>
      <c r="B622">
        <v>1</v>
      </c>
      <c r="C622">
        <v>0</v>
      </c>
      <c r="D622">
        <v>152</v>
      </c>
      <c r="E622">
        <v>274</v>
      </c>
      <c r="F622">
        <v>0</v>
      </c>
      <c r="G622">
        <v>1</v>
      </c>
      <c r="H622">
        <v>88</v>
      </c>
      <c r="I622">
        <v>1</v>
      </c>
      <c r="J622">
        <v>1.2</v>
      </c>
      <c r="K622">
        <v>1</v>
      </c>
      <c r="L622">
        <v>1</v>
      </c>
      <c r="M622">
        <v>3</v>
      </c>
      <c r="N622">
        <v>0</v>
      </c>
      <c r="O622" t="str">
        <f t="shared" si="54"/>
        <v>Male</v>
      </c>
      <c r="P622" t="str">
        <f t="shared" si="55"/>
        <v>No Disease</v>
      </c>
      <c r="Q622" t="str">
        <f t="shared" si="56"/>
        <v>Typical Angina</v>
      </c>
      <c r="R622" t="str">
        <f t="shared" si="57"/>
        <v>Normal</v>
      </c>
      <c r="S622" t="str">
        <f t="shared" si="58"/>
        <v>Yes</v>
      </c>
      <c r="T622" t="str" cm="1">
        <f t="array" ref="T622">_xlfn.IFS(A621&lt;30,"18-29",A621&lt;40,"30-39",A621&lt;50,"40-49",A621&lt;60,"50-59",A621&gt;=60,"60+")</f>
        <v>60+</v>
      </c>
      <c r="U622" t="str">
        <f t="shared" si="59"/>
        <v>High (Stage 2)</v>
      </c>
    </row>
    <row r="623" spans="1:21">
      <c r="A623">
        <v>48</v>
      </c>
      <c r="B623">
        <v>1</v>
      </c>
      <c r="C623">
        <v>0</v>
      </c>
      <c r="D623">
        <v>130</v>
      </c>
      <c r="E623">
        <v>256</v>
      </c>
      <c r="F623">
        <v>1</v>
      </c>
      <c r="G623">
        <v>0</v>
      </c>
      <c r="H623">
        <v>150</v>
      </c>
      <c r="I623">
        <v>1</v>
      </c>
      <c r="J623">
        <v>0</v>
      </c>
      <c r="K623">
        <v>2</v>
      </c>
      <c r="L623">
        <v>2</v>
      </c>
      <c r="M623">
        <v>3</v>
      </c>
      <c r="N623">
        <v>0</v>
      </c>
      <c r="O623" t="str">
        <f t="shared" si="54"/>
        <v>Male</v>
      </c>
      <c r="P623" t="str">
        <f t="shared" si="55"/>
        <v>No Disease</v>
      </c>
      <c r="Q623" t="str">
        <f t="shared" si="56"/>
        <v>Typical Angina</v>
      </c>
      <c r="R623" t="str">
        <f t="shared" si="57"/>
        <v>High</v>
      </c>
      <c r="S623" t="str">
        <f t="shared" si="58"/>
        <v>Yes</v>
      </c>
      <c r="T623" t="str" cm="1">
        <f t="array" ref="T623">_xlfn.IFS(A622&lt;30,"18-29",A622&lt;40,"30-39",A622&lt;50,"40-49",A622&lt;60,"50-59",A622&gt;=60,"60+")</f>
        <v>50-59</v>
      </c>
      <c r="U623" t="str">
        <f t="shared" si="59"/>
        <v>High (Stage 1)</v>
      </c>
    </row>
    <row r="624" spans="1:21">
      <c r="A624">
        <v>62</v>
      </c>
      <c r="B624">
        <v>0</v>
      </c>
      <c r="C624">
        <v>0</v>
      </c>
      <c r="D624">
        <v>138</v>
      </c>
      <c r="E624">
        <v>294</v>
      </c>
      <c r="F624">
        <v>1</v>
      </c>
      <c r="G624">
        <v>1</v>
      </c>
      <c r="H624">
        <v>106</v>
      </c>
      <c r="I624">
        <v>0</v>
      </c>
      <c r="J624">
        <v>1.9</v>
      </c>
      <c r="K624">
        <v>1</v>
      </c>
      <c r="L624">
        <v>3</v>
      </c>
      <c r="M624">
        <v>2</v>
      </c>
      <c r="N624">
        <v>0</v>
      </c>
      <c r="O624" t="str">
        <f t="shared" si="54"/>
        <v>Female</v>
      </c>
      <c r="P624" t="str">
        <f t="shared" si="55"/>
        <v>No Disease</v>
      </c>
      <c r="Q624" t="str">
        <f t="shared" si="56"/>
        <v>Typical Angina</v>
      </c>
      <c r="R624" t="str">
        <f t="shared" si="57"/>
        <v>High</v>
      </c>
      <c r="S624" t="str">
        <f t="shared" si="58"/>
        <v>No</v>
      </c>
      <c r="T624" t="str" cm="1">
        <f t="array" ref="T624">_xlfn.IFS(A623&lt;30,"18-29",A623&lt;40,"30-39",A623&lt;50,"40-49",A623&lt;60,"50-59",A623&gt;=60,"60+")</f>
        <v>40-49</v>
      </c>
      <c r="U624" t="str">
        <f t="shared" si="59"/>
        <v>High (Stage 1)</v>
      </c>
    </row>
    <row r="625" spans="1:21">
      <c r="A625">
        <v>61</v>
      </c>
      <c r="B625">
        <v>1</v>
      </c>
      <c r="C625">
        <v>3</v>
      </c>
      <c r="D625">
        <v>134</v>
      </c>
      <c r="E625">
        <v>234</v>
      </c>
      <c r="F625">
        <v>0</v>
      </c>
      <c r="G625">
        <v>1</v>
      </c>
      <c r="H625">
        <v>145</v>
      </c>
      <c r="I625">
        <v>0</v>
      </c>
      <c r="J625">
        <v>2.6</v>
      </c>
      <c r="K625">
        <v>1</v>
      </c>
      <c r="L625">
        <v>2</v>
      </c>
      <c r="M625">
        <v>2</v>
      </c>
      <c r="N625">
        <v>0</v>
      </c>
      <c r="O625" t="str">
        <f t="shared" si="54"/>
        <v>Male</v>
      </c>
      <c r="P625" t="str">
        <f t="shared" si="55"/>
        <v>No Disease</v>
      </c>
      <c r="Q625" t="str">
        <f t="shared" si="56"/>
        <v>Asymptomatic</v>
      </c>
      <c r="R625" t="str">
        <f t="shared" si="57"/>
        <v>Normal</v>
      </c>
      <c r="S625" t="str">
        <f t="shared" si="58"/>
        <v>No</v>
      </c>
      <c r="T625" t="str" cm="1">
        <f t="array" ref="T625">_xlfn.IFS(A624&lt;30,"18-29",A624&lt;40,"30-39",A624&lt;50,"40-49",A624&lt;60,"50-59",A624&gt;=60,"60+")</f>
        <v>60+</v>
      </c>
      <c r="U625" t="str">
        <f t="shared" si="59"/>
        <v>High (Stage 1)</v>
      </c>
    </row>
    <row r="626" spans="1:21">
      <c r="A626">
        <v>59</v>
      </c>
      <c r="B626">
        <v>1</v>
      </c>
      <c r="C626">
        <v>3</v>
      </c>
      <c r="D626">
        <v>178</v>
      </c>
      <c r="E626">
        <v>270</v>
      </c>
      <c r="F626">
        <v>0</v>
      </c>
      <c r="G626">
        <v>0</v>
      </c>
      <c r="H626">
        <v>145</v>
      </c>
      <c r="I626">
        <v>0</v>
      </c>
      <c r="J626">
        <v>4.2</v>
      </c>
      <c r="K626">
        <v>0</v>
      </c>
      <c r="L626">
        <v>0</v>
      </c>
      <c r="M626">
        <v>3</v>
      </c>
      <c r="N626">
        <v>1</v>
      </c>
      <c r="O626" t="str">
        <f t="shared" si="54"/>
        <v>Male</v>
      </c>
      <c r="P626" t="str">
        <f t="shared" si="55"/>
        <v>Heart Disease</v>
      </c>
      <c r="Q626" t="str">
        <f t="shared" si="56"/>
        <v>Asymptomatic</v>
      </c>
      <c r="R626" t="str">
        <f t="shared" si="57"/>
        <v>Normal</v>
      </c>
      <c r="S626" t="str">
        <f t="shared" si="58"/>
        <v>No</v>
      </c>
      <c r="T626" t="str" cm="1">
        <f t="array" ref="T626">_xlfn.IFS(A625&lt;30,"18-29",A625&lt;40,"30-39",A625&lt;50,"40-49",A625&lt;60,"50-59",A625&gt;=60,"60+")</f>
        <v>60+</v>
      </c>
      <c r="U626" t="str">
        <f t="shared" si="59"/>
        <v>High (Stage 2)</v>
      </c>
    </row>
    <row r="627" spans="1:21">
      <c r="A627">
        <v>69</v>
      </c>
      <c r="B627">
        <v>1</v>
      </c>
      <c r="C627">
        <v>2</v>
      </c>
      <c r="D627">
        <v>140</v>
      </c>
      <c r="E627">
        <v>254</v>
      </c>
      <c r="F627">
        <v>0</v>
      </c>
      <c r="G627">
        <v>0</v>
      </c>
      <c r="H627">
        <v>146</v>
      </c>
      <c r="I627">
        <v>0</v>
      </c>
      <c r="J627">
        <v>2</v>
      </c>
      <c r="K627">
        <v>1</v>
      </c>
      <c r="L627">
        <v>3</v>
      </c>
      <c r="M627">
        <v>3</v>
      </c>
      <c r="N627">
        <v>0</v>
      </c>
      <c r="O627" t="str">
        <f t="shared" si="54"/>
        <v>Male</v>
      </c>
      <c r="P627" t="str">
        <f t="shared" si="55"/>
        <v>No Disease</v>
      </c>
      <c r="Q627" t="str">
        <f t="shared" si="56"/>
        <v>Non-Anginal Pain</v>
      </c>
      <c r="R627" t="str">
        <f t="shared" si="57"/>
        <v>Normal</v>
      </c>
      <c r="S627" t="str">
        <f t="shared" si="58"/>
        <v>No</v>
      </c>
      <c r="T627" t="str" cm="1">
        <f t="array" ref="T627">_xlfn.IFS(A626&lt;30,"18-29",A626&lt;40,"30-39",A626&lt;50,"40-49",A626&lt;60,"50-59",A626&gt;=60,"60+")</f>
        <v>50-59</v>
      </c>
      <c r="U627" t="str">
        <f t="shared" si="59"/>
        <v>High (Stage 2)</v>
      </c>
    </row>
    <row r="628" spans="1:21">
      <c r="A628">
        <v>58</v>
      </c>
      <c r="B628">
        <v>1</v>
      </c>
      <c r="C628">
        <v>2</v>
      </c>
      <c r="D628">
        <v>132</v>
      </c>
      <c r="E628">
        <v>224</v>
      </c>
      <c r="F628">
        <v>0</v>
      </c>
      <c r="G628">
        <v>0</v>
      </c>
      <c r="H628">
        <v>173</v>
      </c>
      <c r="I628">
        <v>0</v>
      </c>
      <c r="J628">
        <v>3.2</v>
      </c>
      <c r="K628">
        <v>2</v>
      </c>
      <c r="L628">
        <v>2</v>
      </c>
      <c r="M628">
        <v>3</v>
      </c>
      <c r="N628">
        <v>0</v>
      </c>
      <c r="O628" t="str">
        <f t="shared" si="54"/>
        <v>Male</v>
      </c>
      <c r="P628" t="str">
        <f t="shared" si="55"/>
        <v>No Disease</v>
      </c>
      <c r="Q628" t="str">
        <f t="shared" si="56"/>
        <v>Non-Anginal Pain</v>
      </c>
      <c r="R628" t="str">
        <f t="shared" si="57"/>
        <v>Normal</v>
      </c>
      <c r="S628" t="str">
        <f t="shared" si="58"/>
        <v>No</v>
      </c>
      <c r="T628" t="str" cm="1">
        <f t="array" ref="T628">_xlfn.IFS(A627&lt;30,"18-29",A627&lt;40,"30-39",A627&lt;50,"40-49",A627&lt;60,"50-59",A627&gt;=60,"60+")</f>
        <v>60+</v>
      </c>
      <c r="U628" t="str">
        <f t="shared" si="59"/>
        <v>High (Stage 1)</v>
      </c>
    </row>
    <row r="629" spans="1:21">
      <c r="A629">
        <v>38</v>
      </c>
      <c r="B629">
        <v>1</v>
      </c>
      <c r="C629">
        <v>3</v>
      </c>
      <c r="D629">
        <v>120</v>
      </c>
      <c r="E629">
        <v>231</v>
      </c>
      <c r="F629">
        <v>0</v>
      </c>
      <c r="G629">
        <v>1</v>
      </c>
      <c r="H629">
        <v>182</v>
      </c>
      <c r="I629">
        <v>1</v>
      </c>
      <c r="J629">
        <v>3.8</v>
      </c>
      <c r="K629">
        <v>1</v>
      </c>
      <c r="L629">
        <v>0</v>
      </c>
      <c r="M629">
        <v>3</v>
      </c>
      <c r="N629">
        <v>0</v>
      </c>
      <c r="O629" t="str">
        <f t="shared" si="54"/>
        <v>Male</v>
      </c>
      <c r="P629" t="str">
        <f t="shared" si="55"/>
        <v>No Disease</v>
      </c>
      <c r="Q629" t="str">
        <f t="shared" si="56"/>
        <v>Asymptomatic</v>
      </c>
      <c r="R629" t="str">
        <f t="shared" si="57"/>
        <v>Normal</v>
      </c>
      <c r="S629" t="str">
        <f t="shared" si="58"/>
        <v>Yes</v>
      </c>
      <c r="T629" t="str" cm="1">
        <f t="array" ref="T629">_xlfn.IFS(A628&lt;30,"18-29",A628&lt;40,"30-39",A628&lt;50,"40-49",A628&lt;60,"50-59",A628&gt;=60,"60+")</f>
        <v>50-59</v>
      </c>
      <c r="U629" t="str">
        <f t="shared" si="59"/>
        <v>Elevated</v>
      </c>
    </row>
    <row r="630" spans="1:21">
      <c r="A630">
        <v>69</v>
      </c>
      <c r="B630">
        <v>0</v>
      </c>
      <c r="C630">
        <v>3</v>
      </c>
      <c r="D630">
        <v>140</v>
      </c>
      <c r="E630">
        <v>239</v>
      </c>
      <c r="F630">
        <v>0</v>
      </c>
      <c r="G630">
        <v>1</v>
      </c>
      <c r="H630">
        <v>151</v>
      </c>
      <c r="I630">
        <v>0</v>
      </c>
      <c r="J630">
        <v>1.8</v>
      </c>
      <c r="K630">
        <v>2</v>
      </c>
      <c r="L630">
        <v>2</v>
      </c>
      <c r="M630">
        <v>2</v>
      </c>
      <c r="N630">
        <v>1</v>
      </c>
      <c r="O630" t="str">
        <f t="shared" si="54"/>
        <v>Female</v>
      </c>
      <c r="P630" t="str">
        <f t="shared" si="55"/>
        <v>Heart Disease</v>
      </c>
      <c r="Q630" t="str">
        <f t="shared" si="56"/>
        <v>Asymptomatic</v>
      </c>
      <c r="R630" t="str">
        <f t="shared" si="57"/>
        <v>Normal</v>
      </c>
      <c r="S630" t="str">
        <f t="shared" si="58"/>
        <v>No</v>
      </c>
      <c r="T630" t="str" cm="1">
        <f t="array" ref="T630">_xlfn.IFS(A629&lt;30,"18-29",A629&lt;40,"30-39",A629&lt;50,"40-49",A629&lt;60,"50-59",A629&gt;=60,"60+")</f>
        <v>30-39</v>
      </c>
      <c r="U630" t="str">
        <f t="shared" si="59"/>
        <v>High (Stage 2)</v>
      </c>
    </row>
    <row r="631" spans="1:21">
      <c r="A631">
        <v>65</v>
      </c>
      <c r="B631">
        <v>1</v>
      </c>
      <c r="C631">
        <v>3</v>
      </c>
      <c r="D631">
        <v>138</v>
      </c>
      <c r="E631">
        <v>282</v>
      </c>
      <c r="F631">
        <v>1</v>
      </c>
      <c r="G631">
        <v>0</v>
      </c>
      <c r="H631">
        <v>174</v>
      </c>
      <c r="I631">
        <v>0</v>
      </c>
      <c r="J631">
        <v>1.4</v>
      </c>
      <c r="K631">
        <v>1</v>
      </c>
      <c r="L631">
        <v>1</v>
      </c>
      <c r="M631">
        <v>2</v>
      </c>
      <c r="N631">
        <v>0</v>
      </c>
      <c r="O631" t="str">
        <f t="shared" si="54"/>
        <v>Male</v>
      </c>
      <c r="P631" t="str">
        <f t="shared" si="55"/>
        <v>No Disease</v>
      </c>
      <c r="Q631" t="str">
        <f t="shared" si="56"/>
        <v>Asymptomatic</v>
      </c>
      <c r="R631" t="str">
        <f t="shared" si="57"/>
        <v>High</v>
      </c>
      <c r="S631" t="str">
        <f t="shared" si="58"/>
        <v>No</v>
      </c>
      <c r="T631" t="str" cm="1">
        <f t="array" ref="T631">_xlfn.IFS(A630&lt;30,"18-29",A630&lt;40,"30-39",A630&lt;50,"40-49",A630&lt;60,"50-59",A630&gt;=60,"60+")</f>
        <v>60+</v>
      </c>
      <c r="U631" t="str">
        <f t="shared" si="59"/>
        <v>High (Stage 1)</v>
      </c>
    </row>
    <row r="632" spans="1:21">
      <c r="A632">
        <v>45</v>
      </c>
      <c r="B632">
        <v>1</v>
      </c>
      <c r="C632">
        <v>3</v>
      </c>
      <c r="D632">
        <v>110</v>
      </c>
      <c r="E632">
        <v>264</v>
      </c>
      <c r="F632">
        <v>0</v>
      </c>
      <c r="G632">
        <v>1</v>
      </c>
      <c r="H632">
        <v>132</v>
      </c>
      <c r="I632">
        <v>0</v>
      </c>
      <c r="J632">
        <v>1.2</v>
      </c>
      <c r="K632">
        <v>1</v>
      </c>
      <c r="L632">
        <v>0</v>
      </c>
      <c r="M632">
        <v>3</v>
      </c>
      <c r="N632">
        <v>0</v>
      </c>
      <c r="O632" t="str">
        <f t="shared" si="54"/>
        <v>Male</v>
      </c>
      <c r="P632" t="str">
        <f t="shared" si="55"/>
        <v>No Disease</v>
      </c>
      <c r="Q632" t="str">
        <f t="shared" si="56"/>
        <v>Asymptomatic</v>
      </c>
      <c r="R632" t="str">
        <f t="shared" si="57"/>
        <v>Normal</v>
      </c>
      <c r="S632" t="str">
        <f t="shared" si="58"/>
        <v>No</v>
      </c>
      <c r="T632" t="str" cm="1">
        <f t="array" ref="T632">_xlfn.IFS(A631&lt;30,"18-29",A631&lt;40,"30-39",A631&lt;50,"40-49",A631&lt;60,"50-59",A631&gt;=60,"60+")</f>
        <v>60+</v>
      </c>
      <c r="U632" t="str">
        <f t="shared" si="59"/>
        <v>Normal</v>
      </c>
    </row>
    <row r="633" spans="1:21">
      <c r="A633">
        <v>49</v>
      </c>
      <c r="B633">
        <v>1</v>
      </c>
      <c r="C633">
        <v>1</v>
      </c>
      <c r="D633">
        <v>130</v>
      </c>
      <c r="E633">
        <v>266</v>
      </c>
      <c r="F633">
        <v>0</v>
      </c>
      <c r="G633">
        <v>1</v>
      </c>
      <c r="H633">
        <v>171</v>
      </c>
      <c r="I633">
        <v>0</v>
      </c>
      <c r="J633">
        <v>0.6</v>
      </c>
      <c r="K633">
        <v>2</v>
      </c>
      <c r="L633">
        <v>0</v>
      </c>
      <c r="M633">
        <v>2</v>
      </c>
      <c r="N633">
        <v>1</v>
      </c>
      <c r="O633" t="str">
        <f t="shared" si="54"/>
        <v>Male</v>
      </c>
      <c r="P633" t="str">
        <f t="shared" si="55"/>
        <v>Heart Disease</v>
      </c>
      <c r="Q633" t="str">
        <f t="shared" si="56"/>
        <v>Atypical Angina</v>
      </c>
      <c r="R633" t="str">
        <f t="shared" si="57"/>
        <v>Normal</v>
      </c>
      <c r="S633" t="str">
        <f t="shared" si="58"/>
        <v>No</v>
      </c>
      <c r="T633" t="str" cm="1">
        <f t="array" ref="T633">_xlfn.IFS(A632&lt;30,"18-29",A632&lt;40,"30-39",A632&lt;50,"40-49",A632&lt;60,"50-59",A632&gt;=60,"60+")</f>
        <v>40-49</v>
      </c>
      <c r="U633" t="str">
        <f t="shared" si="59"/>
        <v>High (Stage 1)</v>
      </c>
    </row>
    <row r="634" spans="1:21">
      <c r="A634">
        <v>45</v>
      </c>
      <c r="B634">
        <v>0</v>
      </c>
      <c r="C634">
        <v>1</v>
      </c>
      <c r="D634">
        <v>130</v>
      </c>
      <c r="E634">
        <v>234</v>
      </c>
      <c r="F634">
        <v>0</v>
      </c>
      <c r="G634">
        <v>0</v>
      </c>
      <c r="H634">
        <v>175</v>
      </c>
      <c r="I634">
        <v>0</v>
      </c>
      <c r="J634">
        <v>0.6</v>
      </c>
      <c r="K634">
        <v>1</v>
      </c>
      <c r="L634">
        <v>0</v>
      </c>
      <c r="M634">
        <v>2</v>
      </c>
      <c r="N634">
        <v>1</v>
      </c>
      <c r="O634" t="str">
        <f t="shared" si="54"/>
        <v>Female</v>
      </c>
      <c r="P634" t="str">
        <f t="shared" si="55"/>
        <v>Heart Disease</v>
      </c>
      <c r="Q634" t="str">
        <f t="shared" si="56"/>
        <v>Atypical Angina</v>
      </c>
      <c r="R634" t="str">
        <f t="shared" si="57"/>
        <v>Normal</v>
      </c>
      <c r="S634" t="str">
        <f t="shared" si="58"/>
        <v>No</v>
      </c>
      <c r="T634" t="str" cm="1">
        <f t="array" ref="T634">_xlfn.IFS(A633&lt;30,"18-29",A633&lt;40,"30-39",A633&lt;50,"40-49",A633&lt;60,"50-59",A633&gt;=60,"60+")</f>
        <v>40-49</v>
      </c>
      <c r="U634" t="str">
        <f t="shared" si="59"/>
        <v>High (Stage 1)</v>
      </c>
    </row>
    <row r="635" spans="1:21">
      <c r="A635">
        <v>61</v>
      </c>
      <c r="B635">
        <v>1</v>
      </c>
      <c r="C635">
        <v>0</v>
      </c>
      <c r="D635">
        <v>138</v>
      </c>
      <c r="E635">
        <v>166</v>
      </c>
      <c r="F635">
        <v>0</v>
      </c>
      <c r="G635">
        <v>0</v>
      </c>
      <c r="H635">
        <v>125</v>
      </c>
      <c r="I635">
        <v>1</v>
      </c>
      <c r="J635">
        <v>3.6</v>
      </c>
      <c r="K635">
        <v>1</v>
      </c>
      <c r="L635">
        <v>1</v>
      </c>
      <c r="M635">
        <v>2</v>
      </c>
      <c r="N635">
        <v>0</v>
      </c>
      <c r="O635" t="str">
        <f t="shared" si="54"/>
        <v>Male</v>
      </c>
      <c r="P635" t="str">
        <f t="shared" si="55"/>
        <v>No Disease</v>
      </c>
      <c r="Q635" t="str">
        <f t="shared" si="56"/>
        <v>Typical Angina</v>
      </c>
      <c r="R635" t="str">
        <f t="shared" si="57"/>
        <v>Normal</v>
      </c>
      <c r="S635" t="str">
        <f t="shared" si="58"/>
        <v>Yes</v>
      </c>
      <c r="T635" t="str" cm="1">
        <f t="array" ref="T635">_xlfn.IFS(A634&lt;30,"18-29",A634&lt;40,"30-39",A634&lt;50,"40-49",A634&lt;60,"50-59",A634&gt;=60,"60+")</f>
        <v>40-49</v>
      </c>
      <c r="U635" t="str">
        <f t="shared" si="59"/>
        <v>High (Stage 1)</v>
      </c>
    </row>
    <row r="636" spans="1:21">
      <c r="A636">
        <v>52</v>
      </c>
      <c r="B636">
        <v>1</v>
      </c>
      <c r="C636">
        <v>0</v>
      </c>
      <c r="D636">
        <v>125</v>
      </c>
      <c r="E636">
        <v>212</v>
      </c>
      <c r="F636">
        <v>0</v>
      </c>
      <c r="G636">
        <v>1</v>
      </c>
      <c r="H636">
        <v>168</v>
      </c>
      <c r="I636">
        <v>0</v>
      </c>
      <c r="J636">
        <v>1</v>
      </c>
      <c r="K636">
        <v>2</v>
      </c>
      <c r="L636">
        <v>2</v>
      </c>
      <c r="M636">
        <v>3</v>
      </c>
      <c r="N636">
        <v>0</v>
      </c>
      <c r="O636" t="str">
        <f t="shared" si="54"/>
        <v>Male</v>
      </c>
      <c r="P636" t="str">
        <f t="shared" si="55"/>
        <v>No Disease</v>
      </c>
      <c r="Q636" t="str">
        <f t="shared" si="56"/>
        <v>Typical Angina</v>
      </c>
      <c r="R636" t="str">
        <f t="shared" si="57"/>
        <v>Normal</v>
      </c>
      <c r="S636" t="str">
        <f t="shared" si="58"/>
        <v>No</v>
      </c>
      <c r="T636" t="str" cm="1">
        <f t="array" ref="T636">_xlfn.IFS(A635&lt;30,"18-29",A635&lt;40,"30-39",A635&lt;50,"40-49",A635&lt;60,"50-59",A635&gt;=60,"60+")</f>
        <v>60+</v>
      </c>
      <c r="U636" t="str">
        <f t="shared" si="59"/>
        <v>Elevated</v>
      </c>
    </row>
    <row r="637" spans="1:21">
      <c r="A637">
        <v>53</v>
      </c>
      <c r="B637">
        <v>0</v>
      </c>
      <c r="C637">
        <v>0</v>
      </c>
      <c r="D637">
        <v>130</v>
      </c>
      <c r="E637">
        <v>264</v>
      </c>
      <c r="F637">
        <v>0</v>
      </c>
      <c r="G637">
        <v>0</v>
      </c>
      <c r="H637">
        <v>143</v>
      </c>
      <c r="I637">
        <v>0</v>
      </c>
      <c r="J637">
        <v>0.4</v>
      </c>
      <c r="K637">
        <v>1</v>
      </c>
      <c r="L637">
        <v>0</v>
      </c>
      <c r="M637">
        <v>2</v>
      </c>
      <c r="N637">
        <v>1</v>
      </c>
      <c r="O637" t="str">
        <f t="shared" si="54"/>
        <v>Female</v>
      </c>
      <c r="P637" t="str">
        <f t="shared" si="55"/>
        <v>Heart Disease</v>
      </c>
      <c r="Q637" t="str">
        <f t="shared" si="56"/>
        <v>Typical Angina</v>
      </c>
      <c r="R637" t="str">
        <f t="shared" si="57"/>
        <v>Normal</v>
      </c>
      <c r="S637" t="str">
        <f t="shared" si="58"/>
        <v>No</v>
      </c>
      <c r="T637" t="str" cm="1">
        <f t="array" ref="T637">_xlfn.IFS(A636&lt;30,"18-29",A636&lt;40,"30-39",A636&lt;50,"40-49",A636&lt;60,"50-59",A636&gt;=60,"60+")</f>
        <v>50-59</v>
      </c>
      <c r="U637" t="str">
        <f t="shared" si="59"/>
        <v>High (Stage 1)</v>
      </c>
    </row>
    <row r="638" spans="1:21">
      <c r="A638">
        <v>59</v>
      </c>
      <c r="B638">
        <v>0</v>
      </c>
      <c r="C638">
        <v>0</v>
      </c>
      <c r="D638">
        <v>174</v>
      </c>
      <c r="E638">
        <v>249</v>
      </c>
      <c r="F638">
        <v>0</v>
      </c>
      <c r="G638">
        <v>1</v>
      </c>
      <c r="H638">
        <v>143</v>
      </c>
      <c r="I638">
        <v>1</v>
      </c>
      <c r="J638">
        <v>0</v>
      </c>
      <c r="K638">
        <v>1</v>
      </c>
      <c r="L638">
        <v>0</v>
      </c>
      <c r="M638">
        <v>2</v>
      </c>
      <c r="N638">
        <v>0</v>
      </c>
      <c r="O638" t="str">
        <f t="shared" si="54"/>
        <v>Female</v>
      </c>
      <c r="P638" t="str">
        <f t="shared" si="55"/>
        <v>No Disease</v>
      </c>
      <c r="Q638" t="str">
        <f t="shared" si="56"/>
        <v>Typical Angina</v>
      </c>
      <c r="R638" t="str">
        <f t="shared" si="57"/>
        <v>Normal</v>
      </c>
      <c r="S638" t="str">
        <f t="shared" si="58"/>
        <v>Yes</v>
      </c>
      <c r="T638" t="str" cm="1">
        <f t="array" ref="T638">_xlfn.IFS(A637&lt;30,"18-29",A637&lt;40,"30-39",A637&lt;50,"40-49",A637&lt;60,"50-59",A637&gt;=60,"60+")</f>
        <v>50-59</v>
      </c>
      <c r="U638" t="str">
        <f t="shared" si="59"/>
        <v>High (Stage 2)</v>
      </c>
    </row>
    <row r="639" spans="1:21">
      <c r="A639">
        <v>58</v>
      </c>
      <c r="B639">
        <v>0</v>
      </c>
      <c r="C639">
        <v>2</v>
      </c>
      <c r="D639">
        <v>120</v>
      </c>
      <c r="E639">
        <v>340</v>
      </c>
      <c r="F639">
        <v>0</v>
      </c>
      <c r="G639">
        <v>1</v>
      </c>
      <c r="H639">
        <v>172</v>
      </c>
      <c r="I639">
        <v>0</v>
      </c>
      <c r="J639">
        <v>0</v>
      </c>
      <c r="K639">
        <v>2</v>
      </c>
      <c r="L639">
        <v>0</v>
      </c>
      <c r="M639">
        <v>2</v>
      </c>
      <c r="N639">
        <v>1</v>
      </c>
      <c r="O639" t="str">
        <f t="shared" si="54"/>
        <v>Female</v>
      </c>
      <c r="P639" t="str">
        <f t="shared" si="55"/>
        <v>Heart Disease</v>
      </c>
      <c r="Q639" t="str">
        <f t="shared" si="56"/>
        <v>Non-Anginal Pain</v>
      </c>
      <c r="R639" t="str">
        <f t="shared" si="57"/>
        <v>Normal</v>
      </c>
      <c r="S639" t="str">
        <f t="shared" si="58"/>
        <v>No</v>
      </c>
      <c r="T639" t="str" cm="1">
        <f t="array" ref="T639">_xlfn.IFS(A638&lt;30,"18-29",A638&lt;40,"30-39",A638&lt;50,"40-49",A638&lt;60,"50-59",A638&gt;=60,"60+")</f>
        <v>50-59</v>
      </c>
      <c r="U639" t="str">
        <f t="shared" si="59"/>
        <v>Elevated</v>
      </c>
    </row>
    <row r="640" spans="1:21">
      <c r="A640">
        <v>65</v>
      </c>
      <c r="B640">
        <v>1</v>
      </c>
      <c r="C640">
        <v>3</v>
      </c>
      <c r="D640">
        <v>138</v>
      </c>
      <c r="E640">
        <v>282</v>
      </c>
      <c r="F640">
        <v>1</v>
      </c>
      <c r="G640">
        <v>0</v>
      </c>
      <c r="H640">
        <v>174</v>
      </c>
      <c r="I640">
        <v>0</v>
      </c>
      <c r="J640">
        <v>1.4</v>
      </c>
      <c r="K640">
        <v>1</v>
      </c>
      <c r="L640">
        <v>1</v>
      </c>
      <c r="M640">
        <v>2</v>
      </c>
      <c r="N640">
        <v>0</v>
      </c>
      <c r="O640" t="str">
        <f t="shared" si="54"/>
        <v>Male</v>
      </c>
      <c r="P640" t="str">
        <f t="shared" si="55"/>
        <v>No Disease</v>
      </c>
      <c r="Q640" t="str">
        <f t="shared" si="56"/>
        <v>Asymptomatic</v>
      </c>
      <c r="R640" t="str">
        <f t="shared" si="57"/>
        <v>High</v>
      </c>
      <c r="S640" t="str">
        <f t="shared" si="58"/>
        <v>No</v>
      </c>
      <c r="T640" t="str" cm="1">
        <f t="array" ref="T640">_xlfn.IFS(A639&lt;30,"18-29",A639&lt;40,"30-39",A639&lt;50,"40-49",A639&lt;60,"50-59",A639&gt;=60,"60+")</f>
        <v>50-59</v>
      </c>
      <c r="U640" t="str">
        <f t="shared" si="59"/>
        <v>High (Stage 1)</v>
      </c>
    </row>
    <row r="641" spans="1:21">
      <c r="A641">
        <v>58</v>
      </c>
      <c r="B641">
        <v>0</v>
      </c>
      <c r="C641">
        <v>0</v>
      </c>
      <c r="D641">
        <v>130</v>
      </c>
      <c r="E641">
        <v>197</v>
      </c>
      <c r="F641">
        <v>0</v>
      </c>
      <c r="G641">
        <v>1</v>
      </c>
      <c r="H641">
        <v>131</v>
      </c>
      <c r="I641">
        <v>0</v>
      </c>
      <c r="J641">
        <v>0.6</v>
      </c>
      <c r="K641">
        <v>1</v>
      </c>
      <c r="L641">
        <v>0</v>
      </c>
      <c r="M641">
        <v>2</v>
      </c>
      <c r="N641">
        <v>1</v>
      </c>
      <c r="O641" t="str">
        <f t="shared" si="54"/>
        <v>Female</v>
      </c>
      <c r="P641" t="str">
        <f t="shared" si="55"/>
        <v>Heart Disease</v>
      </c>
      <c r="Q641" t="str">
        <f t="shared" si="56"/>
        <v>Typical Angina</v>
      </c>
      <c r="R641" t="str">
        <f t="shared" si="57"/>
        <v>Normal</v>
      </c>
      <c r="S641" t="str">
        <f t="shared" si="58"/>
        <v>No</v>
      </c>
      <c r="T641" t="str" cm="1">
        <f t="array" ref="T641">_xlfn.IFS(A640&lt;30,"18-29",A640&lt;40,"30-39",A640&lt;50,"40-49",A640&lt;60,"50-59",A640&gt;=60,"60+")</f>
        <v>60+</v>
      </c>
      <c r="U641" t="str">
        <f t="shared" si="59"/>
        <v>High (Stage 1)</v>
      </c>
    </row>
    <row r="642" spans="1:21">
      <c r="A642">
        <v>46</v>
      </c>
      <c r="B642">
        <v>0</v>
      </c>
      <c r="C642">
        <v>0</v>
      </c>
      <c r="D642">
        <v>138</v>
      </c>
      <c r="E642">
        <v>243</v>
      </c>
      <c r="F642">
        <v>0</v>
      </c>
      <c r="G642">
        <v>0</v>
      </c>
      <c r="H642">
        <v>152</v>
      </c>
      <c r="I642">
        <v>1</v>
      </c>
      <c r="J642">
        <v>0</v>
      </c>
      <c r="K642">
        <v>1</v>
      </c>
      <c r="L642">
        <v>0</v>
      </c>
      <c r="M642">
        <v>2</v>
      </c>
      <c r="N642">
        <v>1</v>
      </c>
      <c r="O642" t="str">
        <f t="shared" ref="O642:O705" si="60">IF(B642=1,"Male","Female")</f>
        <v>Female</v>
      </c>
      <c r="P642" t="str">
        <f t="shared" ref="P642:P705" si="61">IF(N642=1,"Heart Disease","No Disease")</f>
        <v>Heart Disease</v>
      </c>
      <c r="Q642" t="str">
        <f t="shared" ref="Q642:Q705" si="62">IF(C642=0,"Typical Angina",IF(C642=1,"Atypical Angina",IF(C642=2,"Non-Anginal Pain","Asymptomatic")))</f>
        <v>Typical Angina</v>
      </c>
      <c r="R642" t="str">
        <f t="shared" ref="R642:R705" si="63">IF(F642=1,"High","Normal")</f>
        <v>Normal</v>
      </c>
      <c r="S642" t="str">
        <f t="shared" ref="S642:S705" si="64">IF(I642=1,"Yes","No")</f>
        <v>Yes</v>
      </c>
      <c r="T642" t="str" cm="1">
        <f t="array" ref="T642">_xlfn.IFS(A641&lt;30,"18-29",A641&lt;40,"30-39",A641&lt;50,"40-49",A641&lt;60,"50-59",A641&gt;=60,"60+")</f>
        <v>50-59</v>
      </c>
      <c r="U642" t="str">
        <f t="shared" ref="U642:U705" si="65">IF(D642&lt;120,"Normal",IF(D642&lt;130,"Elevated",IF(D642&lt;140,"High (Stage 1)","High (Stage 2)")))</f>
        <v>High (Stage 1)</v>
      </c>
    </row>
    <row r="643" spans="1:21">
      <c r="A643">
        <v>56</v>
      </c>
      <c r="B643">
        <v>0</v>
      </c>
      <c r="C643">
        <v>0</v>
      </c>
      <c r="D643">
        <v>134</v>
      </c>
      <c r="E643">
        <v>409</v>
      </c>
      <c r="F643">
        <v>0</v>
      </c>
      <c r="G643">
        <v>0</v>
      </c>
      <c r="H643">
        <v>150</v>
      </c>
      <c r="I643">
        <v>1</v>
      </c>
      <c r="J643">
        <v>1.9</v>
      </c>
      <c r="K643">
        <v>1</v>
      </c>
      <c r="L643">
        <v>2</v>
      </c>
      <c r="M643">
        <v>3</v>
      </c>
      <c r="N643">
        <v>0</v>
      </c>
      <c r="O643" t="str">
        <f t="shared" si="60"/>
        <v>Female</v>
      </c>
      <c r="P643" t="str">
        <f t="shared" si="61"/>
        <v>No Disease</v>
      </c>
      <c r="Q643" t="str">
        <f t="shared" si="62"/>
        <v>Typical Angina</v>
      </c>
      <c r="R643" t="str">
        <f t="shared" si="63"/>
        <v>Normal</v>
      </c>
      <c r="S643" t="str">
        <f t="shared" si="64"/>
        <v>Yes</v>
      </c>
      <c r="T643" t="str" cm="1">
        <f t="array" ref="T643">_xlfn.IFS(A642&lt;30,"18-29",A642&lt;40,"30-39",A642&lt;50,"40-49",A642&lt;60,"50-59",A642&gt;=60,"60+")</f>
        <v>40-49</v>
      </c>
      <c r="U643" t="str">
        <f t="shared" si="65"/>
        <v>High (Stage 1)</v>
      </c>
    </row>
    <row r="644" spans="1:21">
      <c r="A644">
        <v>64</v>
      </c>
      <c r="B644">
        <v>1</v>
      </c>
      <c r="C644">
        <v>0</v>
      </c>
      <c r="D644">
        <v>128</v>
      </c>
      <c r="E644">
        <v>263</v>
      </c>
      <c r="F644">
        <v>0</v>
      </c>
      <c r="G644">
        <v>1</v>
      </c>
      <c r="H644">
        <v>105</v>
      </c>
      <c r="I644">
        <v>1</v>
      </c>
      <c r="J644">
        <v>0.2</v>
      </c>
      <c r="K644">
        <v>1</v>
      </c>
      <c r="L644">
        <v>1</v>
      </c>
      <c r="M644">
        <v>3</v>
      </c>
      <c r="N644">
        <v>1</v>
      </c>
      <c r="O644" t="str">
        <f t="shared" si="60"/>
        <v>Male</v>
      </c>
      <c r="P644" t="str">
        <f t="shared" si="61"/>
        <v>Heart Disease</v>
      </c>
      <c r="Q644" t="str">
        <f t="shared" si="62"/>
        <v>Typical Angina</v>
      </c>
      <c r="R644" t="str">
        <f t="shared" si="63"/>
        <v>Normal</v>
      </c>
      <c r="S644" t="str">
        <f t="shared" si="64"/>
        <v>Yes</v>
      </c>
      <c r="T644" t="str" cm="1">
        <f t="array" ref="T644">_xlfn.IFS(A643&lt;30,"18-29",A643&lt;40,"30-39",A643&lt;50,"40-49",A643&lt;60,"50-59",A643&gt;=60,"60+")</f>
        <v>50-59</v>
      </c>
      <c r="U644" t="str">
        <f t="shared" si="65"/>
        <v>Elevated</v>
      </c>
    </row>
    <row r="645" spans="1:21">
      <c r="A645">
        <v>65</v>
      </c>
      <c r="B645">
        <v>1</v>
      </c>
      <c r="C645">
        <v>0</v>
      </c>
      <c r="D645">
        <v>120</v>
      </c>
      <c r="E645">
        <v>177</v>
      </c>
      <c r="F645">
        <v>0</v>
      </c>
      <c r="G645">
        <v>1</v>
      </c>
      <c r="H645">
        <v>140</v>
      </c>
      <c r="I645">
        <v>0</v>
      </c>
      <c r="J645">
        <v>0.4</v>
      </c>
      <c r="K645">
        <v>2</v>
      </c>
      <c r="L645">
        <v>0</v>
      </c>
      <c r="M645">
        <v>3</v>
      </c>
      <c r="N645">
        <v>1</v>
      </c>
      <c r="O645" t="str">
        <f t="shared" si="60"/>
        <v>Male</v>
      </c>
      <c r="P645" t="str">
        <f t="shared" si="61"/>
        <v>Heart Disease</v>
      </c>
      <c r="Q645" t="str">
        <f t="shared" si="62"/>
        <v>Typical Angina</v>
      </c>
      <c r="R645" t="str">
        <f t="shared" si="63"/>
        <v>Normal</v>
      </c>
      <c r="S645" t="str">
        <f t="shared" si="64"/>
        <v>No</v>
      </c>
      <c r="T645" t="str" cm="1">
        <f t="array" ref="T645">_xlfn.IFS(A644&lt;30,"18-29",A644&lt;40,"30-39",A644&lt;50,"40-49",A644&lt;60,"50-59",A644&gt;=60,"60+")</f>
        <v>60+</v>
      </c>
      <c r="U645" t="str">
        <f t="shared" si="65"/>
        <v>Elevated</v>
      </c>
    </row>
    <row r="646" spans="1:21">
      <c r="A646">
        <v>44</v>
      </c>
      <c r="B646">
        <v>1</v>
      </c>
      <c r="C646">
        <v>2</v>
      </c>
      <c r="D646">
        <v>120</v>
      </c>
      <c r="E646">
        <v>226</v>
      </c>
      <c r="F646">
        <v>0</v>
      </c>
      <c r="G646">
        <v>1</v>
      </c>
      <c r="H646">
        <v>169</v>
      </c>
      <c r="I646">
        <v>0</v>
      </c>
      <c r="J646">
        <v>0</v>
      </c>
      <c r="K646">
        <v>2</v>
      </c>
      <c r="L646">
        <v>0</v>
      </c>
      <c r="M646">
        <v>2</v>
      </c>
      <c r="N646">
        <v>1</v>
      </c>
      <c r="O646" t="str">
        <f t="shared" si="60"/>
        <v>Male</v>
      </c>
      <c r="P646" t="str">
        <f t="shared" si="61"/>
        <v>Heart Disease</v>
      </c>
      <c r="Q646" t="str">
        <f t="shared" si="62"/>
        <v>Non-Anginal Pain</v>
      </c>
      <c r="R646" t="str">
        <f t="shared" si="63"/>
        <v>Normal</v>
      </c>
      <c r="S646" t="str">
        <f t="shared" si="64"/>
        <v>No</v>
      </c>
      <c r="T646" t="str" cm="1">
        <f t="array" ref="T646">_xlfn.IFS(A645&lt;30,"18-29",A645&lt;40,"30-39",A645&lt;50,"40-49",A645&lt;60,"50-59",A645&gt;=60,"60+")</f>
        <v>60+</v>
      </c>
      <c r="U646" t="str">
        <f t="shared" si="65"/>
        <v>Elevated</v>
      </c>
    </row>
    <row r="647" spans="1:21">
      <c r="A647">
        <v>50</v>
      </c>
      <c r="B647">
        <v>1</v>
      </c>
      <c r="C647">
        <v>0</v>
      </c>
      <c r="D647">
        <v>150</v>
      </c>
      <c r="E647">
        <v>243</v>
      </c>
      <c r="F647">
        <v>0</v>
      </c>
      <c r="G647">
        <v>0</v>
      </c>
      <c r="H647">
        <v>128</v>
      </c>
      <c r="I647">
        <v>0</v>
      </c>
      <c r="J647">
        <v>2.6</v>
      </c>
      <c r="K647">
        <v>1</v>
      </c>
      <c r="L647">
        <v>0</v>
      </c>
      <c r="M647">
        <v>3</v>
      </c>
      <c r="N647">
        <v>0</v>
      </c>
      <c r="O647" t="str">
        <f t="shared" si="60"/>
        <v>Male</v>
      </c>
      <c r="P647" t="str">
        <f t="shared" si="61"/>
        <v>No Disease</v>
      </c>
      <c r="Q647" t="str">
        <f t="shared" si="62"/>
        <v>Typical Angina</v>
      </c>
      <c r="R647" t="str">
        <f t="shared" si="63"/>
        <v>Normal</v>
      </c>
      <c r="S647" t="str">
        <f t="shared" si="64"/>
        <v>No</v>
      </c>
      <c r="T647" t="str" cm="1">
        <f t="array" ref="T647">_xlfn.IFS(A646&lt;30,"18-29",A646&lt;40,"30-39",A646&lt;50,"40-49",A646&lt;60,"50-59",A646&gt;=60,"60+")</f>
        <v>40-49</v>
      </c>
      <c r="U647" t="str">
        <f t="shared" si="65"/>
        <v>High (Stage 2)</v>
      </c>
    </row>
    <row r="648" spans="1:21">
      <c r="A648">
        <v>47</v>
      </c>
      <c r="B648">
        <v>1</v>
      </c>
      <c r="C648">
        <v>2</v>
      </c>
      <c r="D648">
        <v>108</v>
      </c>
      <c r="E648">
        <v>243</v>
      </c>
      <c r="F648">
        <v>0</v>
      </c>
      <c r="G648">
        <v>1</v>
      </c>
      <c r="H648">
        <v>152</v>
      </c>
      <c r="I648">
        <v>0</v>
      </c>
      <c r="J648">
        <v>0</v>
      </c>
      <c r="K648">
        <v>2</v>
      </c>
      <c r="L648">
        <v>0</v>
      </c>
      <c r="M648">
        <v>2</v>
      </c>
      <c r="N648">
        <v>0</v>
      </c>
      <c r="O648" t="str">
        <f t="shared" si="60"/>
        <v>Male</v>
      </c>
      <c r="P648" t="str">
        <f t="shared" si="61"/>
        <v>No Disease</v>
      </c>
      <c r="Q648" t="str">
        <f t="shared" si="62"/>
        <v>Non-Anginal Pain</v>
      </c>
      <c r="R648" t="str">
        <f t="shared" si="63"/>
        <v>Normal</v>
      </c>
      <c r="S648" t="str">
        <f t="shared" si="64"/>
        <v>No</v>
      </c>
      <c r="T648" t="str" cm="1">
        <f t="array" ref="T648">_xlfn.IFS(A647&lt;30,"18-29",A647&lt;40,"30-39",A647&lt;50,"40-49",A647&lt;60,"50-59",A647&gt;=60,"60+")</f>
        <v>50-59</v>
      </c>
      <c r="U648" t="str">
        <f t="shared" si="65"/>
        <v>Normal</v>
      </c>
    </row>
    <row r="649" spans="1:21">
      <c r="A649">
        <v>64</v>
      </c>
      <c r="B649">
        <v>0</v>
      </c>
      <c r="C649">
        <v>0</v>
      </c>
      <c r="D649">
        <v>130</v>
      </c>
      <c r="E649">
        <v>303</v>
      </c>
      <c r="F649">
        <v>0</v>
      </c>
      <c r="G649">
        <v>1</v>
      </c>
      <c r="H649">
        <v>122</v>
      </c>
      <c r="I649">
        <v>0</v>
      </c>
      <c r="J649">
        <v>2</v>
      </c>
      <c r="K649">
        <v>1</v>
      </c>
      <c r="L649">
        <v>2</v>
      </c>
      <c r="M649">
        <v>2</v>
      </c>
      <c r="N649">
        <v>1</v>
      </c>
      <c r="O649" t="str">
        <f t="shared" si="60"/>
        <v>Female</v>
      </c>
      <c r="P649" t="str">
        <f t="shared" si="61"/>
        <v>Heart Disease</v>
      </c>
      <c r="Q649" t="str">
        <f t="shared" si="62"/>
        <v>Typical Angina</v>
      </c>
      <c r="R649" t="str">
        <f t="shared" si="63"/>
        <v>Normal</v>
      </c>
      <c r="S649" t="str">
        <f t="shared" si="64"/>
        <v>No</v>
      </c>
      <c r="T649" t="str" cm="1">
        <f t="array" ref="T649">_xlfn.IFS(A648&lt;30,"18-29",A648&lt;40,"30-39",A648&lt;50,"40-49",A648&lt;60,"50-59",A648&gt;=60,"60+")</f>
        <v>40-49</v>
      </c>
      <c r="U649" t="str">
        <f t="shared" si="65"/>
        <v>High (Stage 1)</v>
      </c>
    </row>
    <row r="650" spans="1:21">
      <c r="A650">
        <v>71</v>
      </c>
      <c r="B650">
        <v>0</v>
      </c>
      <c r="C650">
        <v>0</v>
      </c>
      <c r="D650">
        <v>112</v>
      </c>
      <c r="E650">
        <v>149</v>
      </c>
      <c r="F650">
        <v>0</v>
      </c>
      <c r="G650">
        <v>1</v>
      </c>
      <c r="H650">
        <v>125</v>
      </c>
      <c r="I650">
        <v>0</v>
      </c>
      <c r="J650">
        <v>1.6</v>
      </c>
      <c r="K650">
        <v>1</v>
      </c>
      <c r="L650">
        <v>0</v>
      </c>
      <c r="M650">
        <v>2</v>
      </c>
      <c r="N650">
        <v>1</v>
      </c>
      <c r="O650" t="str">
        <f t="shared" si="60"/>
        <v>Female</v>
      </c>
      <c r="P650" t="str">
        <f t="shared" si="61"/>
        <v>Heart Disease</v>
      </c>
      <c r="Q650" t="str">
        <f t="shared" si="62"/>
        <v>Typical Angina</v>
      </c>
      <c r="R650" t="str">
        <f t="shared" si="63"/>
        <v>Normal</v>
      </c>
      <c r="S650" t="str">
        <f t="shared" si="64"/>
        <v>No</v>
      </c>
      <c r="T650" t="str" cm="1">
        <f t="array" ref="T650">_xlfn.IFS(A649&lt;30,"18-29",A649&lt;40,"30-39",A649&lt;50,"40-49",A649&lt;60,"50-59",A649&gt;=60,"60+")</f>
        <v>60+</v>
      </c>
      <c r="U650" t="str">
        <f t="shared" si="65"/>
        <v>Normal</v>
      </c>
    </row>
    <row r="651" spans="1:21">
      <c r="A651">
        <v>45</v>
      </c>
      <c r="B651">
        <v>0</v>
      </c>
      <c r="C651">
        <v>1</v>
      </c>
      <c r="D651">
        <v>130</v>
      </c>
      <c r="E651">
        <v>234</v>
      </c>
      <c r="F651">
        <v>0</v>
      </c>
      <c r="G651">
        <v>0</v>
      </c>
      <c r="H651">
        <v>175</v>
      </c>
      <c r="I651">
        <v>0</v>
      </c>
      <c r="J651">
        <v>0.6</v>
      </c>
      <c r="K651">
        <v>1</v>
      </c>
      <c r="L651">
        <v>0</v>
      </c>
      <c r="M651">
        <v>2</v>
      </c>
      <c r="N651">
        <v>1</v>
      </c>
      <c r="O651" t="str">
        <f t="shared" si="60"/>
        <v>Female</v>
      </c>
      <c r="P651" t="str">
        <f t="shared" si="61"/>
        <v>Heart Disease</v>
      </c>
      <c r="Q651" t="str">
        <f t="shared" si="62"/>
        <v>Atypical Angina</v>
      </c>
      <c r="R651" t="str">
        <f t="shared" si="63"/>
        <v>Normal</v>
      </c>
      <c r="S651" t="str">
        <f t="shared" si="64"/>
        <v>No</v>
      </c>
      <c r="T651" t="str" cm="1">
        <f t="array" ref="T651">_xlfn.IFS(A650&lt;30,"18-29",A650&lt;40,"30-39",A650&lt;50,"40-49",A650&lt;60,"50-59",A650&gt;=60,"60+")</f>
        <v>60+</v>
      </c>
      <c r="U651" t="str">
        <f t="shared" si="65"/>
        <v>High (Stage 1)</v>
      </c>
    </row>
    <row r="652" spans="1:21">
      <c r="A652">
        <v>62</v>
      </c>
      <c r="B652">
        <v>1</v>
      </c>
      <c r="C652">
        <v>0</v>
      </c>
      <c r="D652">
        <v>120</v>
      </c>
      <c r="E652">
        <v>267</v>
      </c>
      <c r="F652">
        <v>0</v>
      </c>
      <c r="G652">
        <v>1</v>
      </c>
      <c r="H652">
        <v>99</v>
      </c>
      <c r="I652">
        <v>1</v>
      </c>
      <c r="J652">
        <v>1.8</v>
      </c>
      <c r="K652">
        <v>1</v>
      </c>
      <c r="L652">
        <v>2</v>
      </c>
      <c r="M652">
        <v>3</v>
      </c>
      <c r="N652">
        <v>0</v>
      </c>
      <c r="O652" t="str">
        <f t="shared" si="60"/>
        <v>Male</v>
      </c>
      <c r="P652" t="str">
        <f t="shared" si="61"/>
        <v>No Disease</v>
      </c>
      <c r="Q652" t="str">
        <f t="shared" si="62"/>
        <v>Typical Angina</v>
      </c>
      <c r="R652" t="str">
        <f t="shared" si="63"/>
        <v>Normal</v>
      </c>
      <c r="S652" t="str">
        <f t="shared" si="64"/>
        <v>Yes</v>
      </c>
      <c r="T652" t="str" cm="1">
        <f t="array" ref="T652">_xlfn.IFS(A651&lt;30,"18-29",A651&lt;40,"30-39",A651&lt;50,"40-49",A651&lt;60,"50-59",A651&gt;=60,"60+")</f>
        <v>40-49</v>
      </c>
      <c r="U652" t="str">
        <f t="shared" si="65"/>
        <v>Elevated</v>
      </c>
    </row>
    <row r="653" spans="1:21">
      <c r="A653">
        <v>41</v>
      </c>
      <c r="B653">
        <v>1</v>
      </c>
      <c r="C653">
        <v>1</v>
      </c>
      <c r="D653">
        <v>120</v>
      </c>
      <c r="E653">
        <v>157</v>
      </c>
      <c r="F653">
        <v>0</v>
      </c>
      <c r="G653">
        <v>1</v>
      </c>
      <c r="H653">
        <v>182</v>
      </c>
      <c r="I653">
        <v>0</v>
      </c>
      <c r="J653">
        <v>0</v>
      </c>
      <c r="K653">
        <v>2</v>
      </c>
      <c r="L653">
        <v>0</v>
      </c>
      <c r="M653">
        <v>2</v>
      </c>
      <c r="N653">
        <v>1</v>
      </c>
      <c r="O653" t="str">
        <f t="shared" si="60"/>
        <v>Male</v>
      </c>
      <c r="P653" t="str">
        <f t="shared" si="61"/>
        <v>Heart Disease</v>
      </c>
      <c r="Q653" t="str">
        <f t="shared" si="62"/>
        <v>Atypical Angina</v>
      </c>
      <c r="R653" t="str">
        <f t="shared" si="63"/>
        <v>Normal</v>
      </c>
      <c r="S653" t="str">
        <f t="shared" si="64"/>
        <v>No</v>
      </c>
      <c r="T653" t="str" cm="1">
        <f t="array" ref="T653">_xlfn.IFS(A652&lt;30,"18-29",A652&lt;40,"30-39",A652&lt;50,"40-49",A652&lt;60,"50-59",A652&gt;=60,"60+")</f>
        <v>60+</v>
      </c>
      <c r="U653" t="str">
        <f t="shared" si="65"/>
        <v>Elevated</v>
      </c>
    </row>
    <row r="654" spans="1:21">
      <c r="A654">
        <v>66</v>
      </c>
      <c r="B654">
        <v>0</v>
      </c>
      <c r="C654">
        <v>3</v>
      </c>
      <c r="D654">
        <v>150</v>
      </c>
      <c r="E654">
        <v>226</v>
      </c>
      <c r="F654">
        <v>0</v>
      </c>
      <c r="G654">
        <v>1</v>
      </c>
      <c r="H654">
        <v>114</v>
      </c>
      <c r="I654">
        <v>0</v>
      </c>
      <c r="J654">
        <v>2.6</v>
      </c>
      <c r="K654">
        <v>0</v>
      </c>
      <c r="L654">
        <v>0</v>
      </c>
      <c r="M654">
        <v>2</v>
      </c>
      <c r="N654">
        <v>1</v>
      </c>
      <c r="O654" t="str">
        <f t="shared" si="60"/>
        <v>Female</v>
      </c>
      <c r="P654" t="str">
        <f t="shared" si="61"/>
        <v>Heart Disease</v>
      </c>
      <c r="Q654" t="str">
        <f t="shared" si="62"/>
        <v>Asymptomatic</v>
      </c>
      <c r="R654" t="str">
        <f t="shared" si="63"/>
        <v>Normal</v>
      </c>
      <c r="S654" t="str">
        <f t="shared" si="64"/>
        <v>No</v>
      </c>
      <c r="T654" t="str" cm="1">
        <f t="array" ref="T654">_xlfn.IFS(A653&lt;30,"18-29",A653&lt;40,"30-39",A653&lt;50,"40-49",A653&lt;60,"50-59",A653&gt;=60,"60+")</f>
        <v>40-49</v>
      </c>
      <c r="U654" t="str">
        <f t="shared" si="65"/>
        <v>High (Stage 2)</v>
      </c>
    </row>
    <row r="655" spans="1:21">
      <c r="A655">
        <v>56</v>
      </c>
      <c r="B655">
        <v>1</v>
      </c>
      <c r="C655">
        <v>0</v>
      </c>
      <c r="D655">
        <v>130</v>
      </c>
      <c r="E655">
        <v>283</v>
      </c>
      <c r="F655">
        <v>1</v>
      </c>
      <c r="G655">
        <v>0</v>
      </c>
      <c r="H655">
        <v>103</v>
      </c>
      <c r="I655">
        <v>1</v>
      </c>
      <c r="J655">
        <v>1.6</v>
      </c>
      <c r="K655">
        <v>0</v>
      </c>
      <c r="L655">
        <v>0</v>
      </c>
      <c r="M655">
        <v>3</v>
      </c>
      <c r="N655">
        <v>0</v>
      </c>
      <c r="O655" t="str">
        <f t="shared" si="60"/>
        <v>Male</v>
      </c>
      <c r="P655" t="str">
        <f t="shared" si="61"/>
        <v>No Disease</v>
      </c>
      <c r="Q655" t="str">
        <f t="shared" si="62"/>
        <v>Typical Angina</v>
      </c>
      <c r="R655" t="str">
        <f t="shared" si="63"/>
        <v>High</v>
      </c>
      <c r="S655" t="str">
        <f t="shared" si="64"/>
        <v>Yes</v>
      </c>
      <c r="T655" t="str" cm="1">
        <f t="array" ref="T655">_xlfn.IFS(A654&lt;30,"18-29",A654&lt;40,"30-39",A654&lt;50,"40-49",A654&lt;60,"50-59",A654&gt;=60,"60+")</f>
        <v>60+</v>
      </c>
      <c r="U655" t="str">
        <f t="shared" si="65"/>
        <v>High (Stage 1)</v>
      </c>
    </row>
    <row r="656" spans="1:21">
      <c r="A656">
        <v>41</v>
      </c>
      <c r="B656">
        <v>0</v>
      </c>
      <c r="C656">
        <v>1</v>
      </c>
      <c r="D656">
        <v>126</v>
      </c>
      <c r="E656">
        <v>306</v>
      </c>
      <c r="F656">
        <v>0</v>
      </c>
      <c r="G656">
        <v>1</v>
      </c>
      <c r="H656">
        <v>163</v>
      </c>
      <c r="I656">
        <v>0</v>
      </c>
      <c r="J656">
        <v>0</v>
      </c>
      <c r="K656">
        <v>2</v>
      </c>
      <c r="L656">
        <v>0</v>
      </c>
      <c r="M656">
        <v>2</v>
      </c>
      <c r="N656">
        <v>1</v>
      </c>
      <c r="O656" t="str">
        <f t="shared" si="60"/>
        <v>Female</v>
      </c>
      <c r="P656" t="str">
        <f t="shared" si="61"/>
        <v>Heart Disease</v>
      </c>
      <c r="Q656" t="str">
        <f t="shared" si="62"/>
        <v>Atypical Angina</v>
      </c>
      <c r="R656" t="str">
        <f t="shared" si="63"/>
        <v>Normal</v>
      </c>
      <c r="S656" t="str">
        <f t="shared" si="64"/>
        <v>No</v>
      </c>
      <c r="T656" t="str" cm="1">
        <f t="array" ref="T656">_xlfn.IFS(A655&lt;30,"18-29",A655&lt;40,"30-39",A655&lt;50,"40-49",A655&lt;60,"50-59",A655&gt;=60,"60+")</f>
        <v>50-59</v>
      </c>
      <c r="U656" t="str">
        <f t="shared" si="65"/>
        <v>Elevated</v>
      </c>
    </row>
    <row r="657" spans="1:21">
      <c r="A657">
        <v>41</v>
      </c>
      <c r="B657">
        <v>1</v>
      </c>
      <c r="C657">
        <v>1</v>
      </c>
      <c r="D657">
        <v>110</v>
      </c>
      <c r="E657">
        <v>235</v>
      </c>
      <c r="F657">
        <v>0</v>
      </c>
      <c r="G657">
        <v>1</v>
      </c>
      <c r="H657">
        <v>153</v>
      </c>
      <c r="I657">
        <v>0</v>
      </c>
      <c r="J657">
        <v>0</v>
      </c>
      <c r="K657">
        <v>2</v>
      </c>
      <c r="L657">
        <v>0</v>
      </c>
      <c r="M657">
        <v>2</v>
      </c>
      <c r="N657">
        <v>1</v>
      </c>
      <c r="O657" t="str">
        <f t="shared" si="60"/>
        <v>Male</v>
      </c>
      <c r="P657" t="str">
        <f t="shared" si="61"/>
        <v>Heart Disease</v>
      </c>
      <c r="Q657" t="str">
        <f t="shared" si="62"/>
        <v>Atypical Angina</v>
      </c>
      <c r="R657" t="str">
        <f t="shared" si="63"/>
        <v>Normal</v>
      </c>
      <c r="S657" t="str">
        <f t="shared" si="64"/>
        <v>No</v>
      </c>
      <c r="T657" t="str" cm="1">
        <f t="array" ref="T657">_xlfn.IFS(A656&lt;30,"18-29",A656&lt;40,"30-39",A656&lt;50,"40-49",A656&lt;60,"50-59",A656&gt;=60,"60+")</f>
        <v>40-49</v>
      </c>
      <c r="U657" t="str">
        <f t="shared" si="65"/>
        <v>Normal</v>
      </c>
    </row>
    <row r="658" spans="1:21">
      <c r="A658">
        <v>57</v>
      </c>
      <c r="B658">
        <v>0</v>
      </c>
      <c r="C658">
        <v>1</v>
      </c>
      <c r="D658">
        <v>130</v>
      </c>
      <c r="E658">
        <v>236</v>
      </c>
      <c r="F658">
        <v>0</v>
      </c>
      <c r="G658">
        <v>0</v>
      </c>
      <c r="H658">
        <v>174</v>
      </c>
      <c r="I658">
        <v>0</v>
      </c>
      <c r="J658">
        <v>0</v>
      </c>
      <c r="K658">
        <v>1</v>
      </c>
      <c r="L658">
        <v>1</v>
      </c>
      <c r="M658">
        <v>2</v>
      </c>
      <c r="N658">
        <v>0</v>
      </c>
      <c r="O658" t="str">
        <f t="shared" si="60"/>
        <v>Female</v>
      </c>
      <c r="P658" t="str">
        <f t="shared" si="61"/>
        <v>No Disease</v>
      </c>
      <c r="Q658" t="str">
        <f t="shared" si="62"/>
        <v>Atypical Angina</v>
      </c>
      <c r="R658" t="str">
        <f t="shared" si="63"/>
        <v>Normal</v>
      </c>
      <c r="S658" t="str">
        <f t="shared" si="64"/>
        <v>No</v>
      </c>
      <c r="T658" t="str" cm="1">
        <f t="array" ref="T658">_xlfn.IFS(A657&lt;30,"18-29",A657&lt;40,"30-39",A657&lt;50,"40-49",A657&lt;60,"50-59",A657&gt;=60,"60+")</f>
        <v>40-49</v>
      </c>
      <c r="U658" t="str">
        <f t="shared" si="65"/>
        <v>High (Stage 1)</v>
      </c>
    </row>
    <row r="659" spans="1:21">
      <c r="A659">
        <v>39</v>
      </c>
      <c r="B659">
        <v>0</v>
      </c>
      <c r="C659">
        <v>2</v>
      </c>
      <c r="D659">
        <v>138</v>
      </c>
      <c r="E659">
        <v>220</v>
      </c>
      <c r="F659">
        <v>0</v>
      </c>
      <c r="G659">
        <v>1</v>
      </c>
      <c r="H659">
        <v>152</v>
      </c>
      <c r="I659">
        <v>0</v>
      </c>
      <c r="J659">
        <v>0</v>
      </c>
      <c r="K659">
        <v>1</v>
      </c>
      <c r="L659">
        <v>0</v>
      </c>
      <c r="M659">
        <v>2</v>
      </c>
      <c r="N659">
        <v>1</v>
      </c>
      <c r="O659" t="str">
        <f t="shared" si="60"/>
        <v>Female</v>
      </c>
      <c r="P659" t="str">
        <f t="shared" si="61"/>
        <v>Heart Disease</v>
      </c>
      <c r="Q659" t="str">
        <f t="shared" si="62"/>
        <v>Non-Anginal Pain</v>
      </c>
      <c r="R659" t="str">
        <f t="shared" si="63"/>
        <v>Normal</v>
      </c>
      <c r="S659" t="str">
        <f t="shared" si="64"/>
        <v>No</v>
      </c>
      <c r="T659" t="str" cm="1">
        <f t="array" ref="T659">_xlfn.IFS(A658&lt;30,"18-29",A658&lt;40,"30-39",A658&lt;50,"40-49",A658&lt;60,"50-59",A658&gt;=60,"60+")</f>
        <v>50-59</v>
      </c>
      <c r="U659" t="str">
        <f t="shared" si="65"/>
        <v>High (Stage 1)</v>
      </c>
    </row>
    <row r="660" spans="1:21">
      <c r="A660">
        <v>64</v>
      </c>
      <c r="B660">
        <v>1</v>
      </c>
      <c r="C660">
        <v>2</v>
      </c>
      <c r="D660">
        <v>125</v>
      </c>
      <c r="E660">
        <v>309</v>
      </c>
      <c r="F660">
        <v>0</v>
      </c>
      <c r="G660">
        <v>1</v>
      </c>
      <c r="H660">
        <v>131</v>
      </c>
      <c r="I660">
        <v>1</v>
      </c>
      <c r="J660">
        <v>1.8</v>
      </c>
      <c r="K660">
        <v>1</v>
      </c>
      <c r="L660">
        <v>0</v>
      </c>
      <c r="M660">
        <v>3</v>
      </c>
      <c r="N660">
        <v>0</v>
      </c>
      <c r="O660" t="str">
        <f t="shared" si="60"/>
        <v>Male</v>
      </c>
      <c r="P660" t="str">
        <f t="shared" si="61"/>
        <v>No Disease</v>
      </c>
      <c r="Q660" t="str">
        <f t="shared" si="62"/>
        <v>Non-Anginal Pain</v>
      </c>
      <c r="R660" t="str">
        <f t="shared" si="63"/>
        <v>Normal</v>
      </c>
      <c r="S660" t="str">
        <f t="shared" si="64"/>
        <v>Yes</v>
      </c>
      <c r="T660" t="str" cm="1">
        <f t="array" ref="T660">_xlfn.IFS(A659&lt;30,"18-29",A659&lt;40,"30-39",A659&lt;50,"40-49",A659&lt;60,"50-59",A659&gt;=60,"60+")</f>
        <v>30-39</v>
      </c>
      <c r="U660" t="str">
        <f t="shared" si="65"/>
        <v>Elevated</v>
      </c>
    </row>
    <row r="661" spans="1:21">
      <c r="A661">
        <v>59</v>
      </c>
      <c r="B661">
        <v>1</v>
      </c>
      <c r="C661">
        <v>0</v>
      </c>
      <c r="D661">
        <v>138</v>
      </c>
      <c r="E661">
        <v>271</v>
      </c>
      <c r="F661">
        <v>0</v>
      </c>
      <c r="G661">
        <v>0</v>
      </c>
      <c r="H661">
        <v>182</v>
      </c>
      <c r="I661">
        <v>0</v>
      </c>
      <c r="J661">
        <v>0</v>
      </c>
      <c r="K661">
        <v>2</v>
      </c>
      <c r="L661">
        <v>0</v>
      </c>
      <c r="M661">
        <v>2</v>
      </c>
      <c r="N661">
        <v>1</v>
      </c>
      <c r="O661" t="str">
        <f t="shared" si="60"/>
        <v>Male</v>
      </c>
      <c r="P661" t="str">
        <f t="shared" si="61"/>
        <v>Heart Disease</v>
      </c>
      <c r="Q661" t="str">
        <f t="shared" si="62"/>
        <v>Typical Angina</v>
      </c>
      <c r="R661" t="str">
        <f t="shared" si="63"/>
        <v>Normal</v>
      </c>
      <c r="S661" t="str">
        <f t="shared" si="64"/>
        <v>No</v>
      </c>
      <c r="T661" t="str" cm="1">
        <f t="array" ref="T661">_xlfn.IFS(A660&lt;30,"18-29",A660&lt;40,"30-39",A660&lt;50,"40-49",A660&lt;60,"50-59",A660&gt;=60,"60+")</f>
        <v>60+</v>
      </c>
      <c r="U661" t="str">
        <f t="shared" si="65"/>
        <v>High (Stage 1)</v>
      </c>
    </row>
    <row r="662" spans="1:21">
      <c r="A662">
        <v>61</v>
      </c>
      <c r="B662">
        <v>1</v>
      </c>
      <c r="C662">
        <v>0</v>
      </c>
      <c r="D662">
        <v>138</v>
      </c>
      <c r="E662">
        <v>166</v>
      </c>
      <c r="F662">
        <v>0</v>
      </c>
      <c r="G662">
        <v>0</v>
      </c>
      <c r="H662">
        <v>125</v>
      </c>
      <c r="I662">
        <v>1</v>
      </c>
      <c r="J662">
        <v>3.6</v>
      </c>
      <c r="K662">
        <v>1</v>
      </c>
      <c r="L662">
        <v>1</v>
      </c>
      <c r="M662">
        <v>2</v>
      </c>
      <c r="N662">
        <v>0</v>
      </c>
      <c r="O662" t="str">
        <f t="shared" si="60"/>
        <v>Male</v>
      </c>
      <c r="P662" t="str">
        <f t="shared" si="61"/>
        <v>No Disease</v>
      </c>
      <c r="Q662" t="str">
        <f t="shared" si="62"/>
        <v>Typical Angina</v>
      </c>
      <c r="R662" t="str">
        <f t="shared" si="63"/>
        <v>Normal</v>
      </c>
      <c r="S662" t="str">
        <f t="shared" si="64"/>
        <v>Yes</v>
      </c>
      <c r="T662" t="str" cm="1">
        <f t="array" ref="T662">_xlfn.IFS(A661&lt;30,"18-29",A661&lt;40,"30-39",A661&lt;50,"40-49",A661&lt;60,"50-59",A661&gt;=60,"60+")</f>
        <v>50-59</v>
      </c>
      <c r="U662" t="str">
        <f t="shared" si="65"/>
        <v>High (Stage 1)</v>
      </c>
    </row>
    <row r="663" spans="1:21">
      <c r="A663">
        <v>58</v>
      </c>
      <c r="B663">
        <v>1</v>
      </c>
      <c r="C663">
        <v>0</v>
      </c>
      <c r="D663">
        <v>114</v>
      </c>
      <c r="E663">
        <v>318</v>
      </c>
      <c r="F663">
        <v>0</v>
      </c>
      <c r="G663">
        <v>2</v>
      </c>
      <c r="H663">
        <v>140</v>
      </c>
      <c r="I663">
        <v>0</v>
      </c>
      <c r="J663">
        <v>4.4000000000000004</v>
      </c>
      <c r="K663">
        <v>0</v>
      </c>
      <c r="L663">
        <v>3</v>
      </c>
      <c r="M663">
        <v>1</v>
      </c>
      <c r="N663">
        <v>0</v>
      </c>
      <c r="O663" t="str">
        <f t="shared" si="60"/>
        <v>Male</v>
      </c>
      <c r="P663" t="str">
        <f t="shared" si="61"/>
        <v>No Disease</v>
      </c>
      <c r="Q663" t="str">
        <f t="shared" si="62"/>
        <v>Typical Angina</v>
      </c>
      <c r="R663" t="str">
        <f t="shared" si="63"/>
        <v>Normal</v>
      </c>
      <c r="S663" t="str">
        <f t="shared" si="64"/>
        <v>No</v>
      </c>
      <c r="T663" t="str" cm="1">
        <f t="array" ref="T663">_xlfn.IFS(A662&lt;30,"18-29",A662&lt;40,"30-39",A662&lt;50,"40-49",A662&lt;60,"50-59",A662&gt;=60,"60+")</f>
        <v>60+</v>
      </c>
      <c r="U663" t="str">
        <f t="shared" si="65"/>
        <v>Normal</v>
      </c>
    </row>
    <row r="664" spans="1:21">
      <c r="A664">
        <v>47</v>
      </c>
      <c r="B664">
        <v>1</v>
      </c>
      <c r="C664">
        <v>0</v>
      </c>
      <c r="D664">
        <v>112</v>
      </c>
      <c r="E664">
        <v>204</v>
      </c>
      <c r="F664">
        <v>0</v>
      </c>
      <c r="G664">
        <v>1</v>
      </c>
      <c r="H664">
        <v>143</v>
      </c>
      <c r="I664">
        <v>0</v>
      </c>
      <c r="J664">
        <v>0.1</v>
      </c>
      <c r="K664">
        <v>2</v>
      </c>
      <c r="L664">
        <v>0</v>
      </c>
      <c r="M664">
        <v>2</v>
      </c>
      <c r="N664">
        <v>1</v>
      </c>
      <c r="O664" t="str">
        <f t="shared" si="60"/>
        <v>Male</v>
      </c>
      <c r="P664" t="str">
        <f t="shared" si="61"/>
        <v>Heart Disease</v>
      </c>
      <c r="Q664" t="str">
        <f t="shared" si="62"/>
        <v>Typical Angina</v>
      </c>
      <c r="R664" t="str">
        <f t="shared" si="63"/>
        <v>Normal</v>
      </c>
      <c r="S664" t="str">
        <f t="shared" si="64"/>
        <v>No</v>
      </c>
      <c r="T664" t="str" cm="1">
        <f t="array" ref="T664">_xlfn.IFS(A663&lt;30,"18-29",A663&lt;40,"30-39",A663&lt;50,"40-49",A663&lt;60,"50-59",A663&gt;=60,"60+")</f>
        <v>50-59</v>
      </c>
      <c r="U664" t="str">
        <f t="shared" si="65"/>
        <v>Normal</v>
      </c>
    </row>
    <row r="665" spans="1:21">
      <c r="A665">
        <v>58</v>
      </c>
      <c r="B665">
        <v>0</v>
      </c>
      <c r="C665">
        <v>0</v>
      </c>
      <c r="D665">
        <v>100</v>
      </c>
      <c r="E665">
        <v>248</v>
      </c>
      <c r="F665">
        <v>0</v>
      </c>
      <c r="G665">
        <v>0</v>
      </c>
      <c r="H665">
        <v>122</v>
      </c>
      <c r="I665">
        <v>0</v>
      </c>
      <c r="J665">
        <v>1</v>
      </c>
      <c r="K665">
        <v>1</v>
      </c>
      <c r="L665">
        <v>0</v>
      </c>
      <c r="M665">
        <v>2</v>
      </c>
      <c r="N665">
        <v>1</v>
      </c>
      <c r="O665" t="str">
        <f t="shared" si="60"/>
        <v>Female</v>
      </c>
      <c r="P665" t="str">
        <f t="shared" si="61"/>
        <v>Heart Disease</v>
      </c>
      <c r="Q665" t="str">
        <f t="shared" si="62"/>
        <v>Typical Angina</v>
      </c>
      <c r="R665" t="str">
        <f t="shared" si="63"/>
        <v>Normal</v>
      </c>
      <c r="S665" t="str">
        <f t="shared" si="64"/>
        <v>No</v>
      </c>
      <c r="T665" t="str" cm="1">
        <f t="array" ref="T665">_xlfn.IFS(A664&lt;30,"18-29",A664&lt;40,"30-39",A664&lt;50,"40-49",A664&lt;60,"50-59",A664&gt;=60,"60+")</f>
        <v>40-49</v>
      </c>
      <c r="U665" t="str">
        <f t="shared" si="65"/>
        <v>Normal</v>
      </c>
    </row>
    <row r="666" spans="1:21">
      <c r="A666">
        <v>66</v>
      </c>
      <c r="B666">
        <v>0</v>
      </c>
      <c r="C666">
        <v>3</v>
      </c>
      <c r="D666">
        <v>150</v>
      </c>
      <c r="E666">
        <v>226</v>
      </c>
      <c r="F666">
        <v>0</v>
      </c>
      <c r="G666">
        <v>1</v>
      </c>
      <c r="H666">
        <v>114</v>
      </c>
      <c r="I666">
        <v>0</v>
      </c>
      <c r="J666">
        <v>2.6</v>
      </c>
      <c r="K666">
        <v>0</v>
      </c>
      <c r="L666">
        <v>0</v>
      </c>
      <c r="M666">
        <v>2</v>
      </c>
      <c r="N666">
        <v>1</v>
      </c>
      <c r="O666" t="str">
        <f t="shared" si="60"/>
        <v>Female</v>
      </c>
      <c r="P666" t="str">
        <f t="shared" si="61"/>
        <v>Heart Disease</v>
      </c>
      <c r="Q666" t="str">
        <f t="shared" si="62"/>
        <v>Asymptomatic</v>
      </c>
      <c r="R666" t="str">
        <f t="shared" si="63"/>
        <v>Normal</v>
      </c>
      <c r="S666" t="str">
        <f t="shared" si="64"/>
        <v>No</v>
      </c>
      <c r="T666" t="str" cm="1">
        <f t="array" ref="T666">_xlfn.IFS(A665&lt;30,"18-29",A665&lt;40,"30-39",A665&lt;50,"40-49",A665&lt;60,"50-59",A665&gt;=60,"60+")</f>
        <v>50-59</v>
      </c>
      <c r="U666" t="str">
        <f t="shared" si="65"/>
        <v>High (Stage 2)</v>
      </c>
    </row>
    <row r="667" spans="1:21">
      <c r="A667">
        <v>65</v>
      </c>
      <c r="B667">
        <v>0</v>
      </c>
      <c r="C667">
        <v>2</v>
      </c>
      <c r="D667">
        <v>140</v>
      </c>
      <c r="E667">
        <v>417</v>
      </c>
      <c r="F667">
        <v>1</v>
      </c>
      <c r="G667">
        <v>0</v>
      </c>
      <c r="H667">
        <v>157</v>
      </c>
      <c r="I667">
        <v>0</v>
      </c>
      <c r="J667">
        <v>0.8</v>
      </c>
      <c r="K667">
        <v>2</v>
      </c>
      <c r="L667">
        <v>1</v>
      </c>
      <c r="M667">
        <v>2</v>
      </c>
      <c r="N667">
        <v>1</v>
      </c>
      <c r="O667" t="str">
        <f t="shared" si="60"/>
        <v>Female</v>
      </c>
      <c r="P667" t="str">
        <f t="shared" si="61"/>
        <v>Heart Disease</v>
      </c>
      <c r="Q667" t="str">
        <f t="shared" si="62"/>
        <v>Non-Anginal Pain</v>
      </c>
      <c r="R667" t="str">
        <f t="shared" si="63"/>
        <v>High</v>
      </c>
      <c r="S667" t="str">
        <f t="shared" si="64"/>
        <v>No</v>
      </c>
      <c r="T667" t="str" cm="1">
        <f t="array" ref="T667">_xlfn.IFS(A666&lt;30,"18-29",A666&lt;40,"30-39",A666&lt;50,"40-49",A666&lt;60,"50-59",A666&gt;=60,"60+")</f>
        <v>60+</v>
      </c>
      <c r="U667" t="str">
        <f t="shared" si="65"/>
        <v>High (Stage 2)</v>
      </c>
    </row>
    <row r="668" spans="1:21">
      <c r="A668">
        <v>35</v>
      </c>
      <c r="B668">
        <v>1</v>
      </c>
      <c r="C668">
        <v>1</v>
      </c>
      <c r="D668">
        <v>122</v>
      </c>
      <c r="E668">
        <v>192</v>
      </c>
      <c r="F668">
        <v>0</v>
      </c>
      <c r="G668">
        <v>1</v>
      </c>
      <c r="H668">
        <v>174</v>
      </c>
      <c r="I668">
        <v>0</v>
      </c>
      <c r="J668">
        <v>0</v>
      </c>
      <c r="K668">
        <v>2</v>
      </c>
      <c r="L668">
        <v>0</v>
      </c>
      <c r="M668">
        <v>2</v>
      </c>
      <c r="N668">
        <v>1</v>
      </c>
      <c r="O668" t="str">
        <f t="shared" si="60"/>
        <v>Male</v>
      </c>
      <c r="P668" t="str">
        <f t="shared" si="61"/>
        <v>Heart Disease</v>
      </c>
      <c r="Q668" t="str">
        <f t="shared" si="62"/>
        <v>Atypical Angina</v>
      </c>
      <c r="R668" t="str">
        <f t="shared" si="63"/>
        <v>Normal</v>
      </c>
      <c r="S668" t="str">
        <f t="shared" si="64"/>
        <v>No</v>
      </c>
      <c r="T668" t="str" cm="1">
        <f t="array" ref="T668">_xlfn.IFS(A667&lt;30,"18-29",A667&lt;40,"30-39",A667&lt;50,"40-49",A667&lt;60,"50-59",A667&gt;=60,"60+")</f>
        <v>60+</v>
      </c>
      <c r="U668" t="str">
        <f t="shared" si="65"/>
        <v>Elevated</v>
      </c>
    </row>
    <row r="669" spans="1:21">
      <c r="A669">
        <v>57</v>
      </c>
      <c r="B669">
        <v>1</v>
      </c>
      <c r="C669">
        <v>1</v>
      </c>
      <c r="D669">
        <v>124</v>
      </c>
      <c r="E669">
        <v>261</v>
      </c>
      <c r="F669">
        <v>0</v>
      </c>
      <c r="G669">
        <v>1</v>
      </c>
      <c r="H669">
        <v>141</v>
      </c>
      <c r="I669">
        <v>0</v>
      </c>
      <c r="J669">
        <v>0.3</v>
      </c>
      <c r="K669">
        <v>2</v>
      </c>
      <c r="L669">
        <v>0</v>
      </c>
      <c r="M669">
        <v>3</v>
      </c>
      <c r="N669">
        <v>0</v>
      </c>
      <c r="O669" t="str">
        <f t="shared" si="60"/>
        <v>Male</v>
      </c>
      <c r="P669" t="str">
        <f t="shared" si="61"/>
        <v>No Disease</v>
      </c>
      <c r="Q669" t="str">
        <f t="shared" si="62"/>
        <v>Atypical Angina</v>
      </c>
      <c r="R669" t="str">
        <f t="shared" si="63"/>
        <v>Normal</v>
      </c>
      <c r="S669" t="str">
        <f t="shared" si="64"/>
        <v>No</v>
      </c>
      <c r="T669" t="str" cm="1">
        <f t="array" ref="T669">_xlfn.IFS(A668&lt;30,"18-29",A668&lt;40,"30-39",A668&lt;50,"40-49",A668&lt;60,"50-59",A668&gt;=60,"60+")</f>
        <v>30-39</v>
      </c>
      <c r="U669" t="str">
        <f t="shared" si="65"/>
        <v>Elevated</v>
      </c>
    </row>
    <row r="670" spans="1:21">
      <c r="A670">
        <v>29</v>
      </c>
      <c r="B670">
        <v>1</v>
      </c>
      <c r="C670">
        <v>1</v>
      </c>
      <c r="D670">
        <v>130</v>
      </c>
      <c r="E670">
        <v>204</v>
      </c>
      <c r="F670">
        <v>0</v>
      </c>
      <c r="G670">
        <v>0</v>
      </c>
      <c r="H670">
        <v>202</v>
      </c>
      <c r="I670">
        <v>0</v>
      </c>
      <c r="J670">
        <v>0</v>
      </c>
      <c r="K670">
        <v>2</v>
      </c>
      <c r="L670">
        <v>0</v>
      </c>
      <c r="M670">
        <v>2</v>
      </c>
      <c r="N670">
        <v>1</v>
      </c>
      <c r="O670" t="str">
        <f t="shared" si="60"/>
        <v>Male</v>
      </c>
      <c r="P670" t="str">
        <f t="shared" si="61"/>
        <v>Heart Disease</v>
      </c>
      <c r="Q670" t="str">
        <f t="shared" si="62"/>
        <v>Atypical Angina</v>
      </c>
      <c r="R670" t="str">
        <f t="shared" si="63"/>
        <v>Normal</v>
      </c>
      <c r="S670" t="str">
        <f t="shared" si="64"/>
        <v>No</v>
      </c>
      <c r="T670" t="str" cm="1">
        <f t="array" ref="T670">_xlfn.IFS(A669&lt;30,"18-29",A669&lt;40,"30-39",A669&lt;50,"40-49",A669&lt;60,"50-59",A669&gt;=60,"60+")</f>
        <v>50-59</v>
      </c>
      <c r="U670" t="str">
        <f t="shared" si="65"/>
        <v>High (Stage 1)</v>
      </c>
    </row>
    <row r="671" spans="1:21">
      <c r="A671">
        <v>66</v>
      </c>
      <c r="B671">
        <v>1</v>
      </c>
      <c r="C671">
        <v>1</v>
      </c>
      <c r="D671">
        <v>160</v>
      </c>
      <c r="E671">
        <v>246</v>
      </c>
      <c r="F671">
        <v>0</v>
      </c>
      <c r="G671">
        <v>1</v>
      </c>
      <c r="H671">
        <v>120</v>
      </c>
      <c r="I671">
        <v>1</v>
      </c>
      <c r="J671">
        <v>0</v>
      </c>
      <c r="K671">
        <v>1</v>
      </c>
      <c r="L671">
        <v>3</v>
      </c>
      <c r="M671">
        <v>1</v>
      </c>
      <c r="N671">
        <v>0</v>
      </c>
      <c r="O671" t="str">
        <f t="shared" si="60"/>
        <v>Male</v>
      </c>
      <c r="P671" t="str">
        <f t="shared" si="61"/>
        <v>No Disease</v>
      </c>
      <c r="Q671" t="str">
        <f t="shared" si="62"/>
        <v>Atypical Angina</v>
      </c>
      <c r="R671" t="str">
        <f t="shared" si="63"/>
        <v>Normal</v>
      </c>
      <c r="S671" t="str">
        <f t="shared" si="64"/>
        <v>Yes</v>
      </c>
      <c r="T671" t="str" cm="1">
        <f t="array" ref="T671">_xlfn.IFS(A670&lt;30,"18-29",A670&lt;40,"30-39",A670&lt;50,"40-49",A670&lt;60,"50-59",A670&gt;=60,"60+")</f>
        <v>18-29</v>
      </c>
      <c r="U671" t="str">
        <f t="shared" si="65"/>
        <v>High (Stage 2)</v>
      </c>
    </row>
    <row r="672" spans="1:21">
      <c r="A672">
        <v>61</v>
      </c>
      <c r="B672">
        <v>0</v>
      </c>
      <c r="C672">
        <v>0</v>
      </c>
      <c r="D672">
        <v>130</v>
      </c>
      <c r="E672">
        <v>330</v>
      </c>
      <c r="F672">
        <v>0</v>
      </c>
      <c r="G672">
        <v>0</v>
      </c>
      <c r="H672">
        <v>169</v>
      </c>
      <c r="I672">
        <v>0</v>
      </c>
      <c r="J672">
        <v>0</v>
      </c>
      <c r="K672">
        <v>2</v>
      </c>
      <c r="L672">
        <v>0</v>
      </c>
      <c r="M672">
        <v>2</v>
      </c>
      <c r="N672">
        <v>0</v>
      </c>
      <c r="O672" t="str">
        <f t="shared" si="60"/>
        <v>Female</v>
      </c>
      <c r="P672" t="str">
        <f t="shared" si="61"/>
        <v>No Disease</v>
      </c>
      <c r="Q672" t="str">
        <f t="shared" si="62"/>
        <v>Typical Angina</v>
      </c>
      <c r="R672" t="str">
        <f t="shared" si="63"/>
        <v>Normal</v>
      </c>
      <c r="S672" t="str">
        <f t="shared" si="64"/>
        <v>No</v>
      </c>
      <c r="T672" t="str" cm="1">
        <f t="array" ref="T672">_xlfn.IFS(A671&lt;30,"18-29",A671&lt;40,"30-39",A671&lt;50,"40-49",A671&lt;60,"50-59",A671&gt;=60,"60+")</f>
        <v>60+</v>
      </c>
      <c r="U672" t="str">
        <f t="shared" si="65"/>
        <v>High (Stage 1)</v>
      </c>
    </row>
    <row r="673" spans="1:21">
      <c r="A673">
        <v>52</v>
      </c>
      <c r="B673">
        <v>1</v>
      </c>
      <c r="C673">
        <v>0</v>
      </c>
      <c r="D673">
        <v>125</v>
      </c>
      <c r="E673">
        <v>212</v>
      </c>
      <c r="F673">
        <v>0</v>
      </c>
      <c r="G673">
        <v>1</v>
      </c>
      <c r="H673">
        <v>168</v>
      </c>
      <c r="I673">
        <v>0</v>
      </c>
      <c r="J673">
        <v>1</v>
      </c>
      <c r="K673">
        <v>2</v>
      </c>
      <c r="L673">
        <v>2</v>
      </c>
      <c r="M673">
        <v>3</v>
      </c>
      <c r="N673">
        <v>0</v>
      </c>
      <c r="O673" t="str">
        <f t="shared" si="60"/>
        <v>Male</v>
      </c>
      <c r="P673" t="str">
        <f t="shared" si="61"/>
        <v>No Disease</v>
      </c>
      <c r="Q673" t="str">
        <f t="shared" si="62"/>
        <v>Typical Angina</v>
      </c>
      <c r="R673" t="str">
        <f t="shared" si="63"/>
        <v>Normal</v>
      </c>
      <c r="S673" t="str">
        <f t="shared" si="64"/>
        <v>No</v>
      </c>
      <c r="T673" t="str" cm="1">
        <f t="array" ref="T673">_xlfn.IFS(A672&lt;30,"18-29",A672&lt;40,"30-39",A672&lt;50,"40-49",A672&lt;60,"50-59",A672&gt;=60,"60+")</f>
        <v>60+</v>
      </c>
      <c r="U673" t="str">
        <f t="shared" si="65"/>
        <v>Elevated</v>
      </c>
    </row>
    <row r="674" spans="1:21">
      <c r="A674">
        <v>68</v>
      </c>
      <c r="B674">
        <v>1</v>
      </c>
      <c r="C674">
        <v>2</v>
      </c>
      <c r="D674">
        <v>118</v>
      </c>
      <c r="E674">
        <v>277</v>
      </c>
      <c r="F674">
        <v>0</v>
      </c>
      <c r="G674">
        <v>1</v>
      </c>
      <c r="H674">
        <v>151</v>
      </c>
      <c r="I674">
        <v>0</v>
      </c>
      <c r="J674">
        <v>1</v>
      </c>
      <c r="K674">
        <v>2</v>
      </c>
      <c r="L674">
        <v>1</v>
      </c>
      <c r="M674">
        <v>3</v>
      </c>
      <c r="N674">
        <v>1</v>
      </c>
      <c r="O674" t="str">
        <f t="shared" si="60"/>
        <v>Male</v>
      </c>
      <c r="P674" t="str">
        <f t="shared" si="61"/>
        <v>Heart Disease</v>
      </c>
      <c r="Q674" t="str">
        <f t="shared" si="62"/>
        <v>Non-Anginal Pain</v>
      </c>
      <c r="R674" t="str">
        <f t="shared" si="63"/>
        <v>Normal</v>
      </c>
      <c r="S674" t="str">
        <f t="shared" si="64"/>
        <v>No</v>
      </c>
      <c r="T674" t="str" cm="1">
        <f t="array" ref="T674">_xlfn.IFS(A673&lt;30,"18-29",A673&lt;40,"30-39",A673&lt;50,"40-49",A673&lt;60,"50-59",A673&gt;=60,"60+")</f>
        <v>50-59</v>
      </c>
      <c r="U674" t="str">
        <f t="shared" si="65"/>
        <v>Normal</v>
      </c>
    </row>
    <row r="675" spans="1:21">
      <c r="A675">
        <v>54</v>
      </c>
      <c r="B675">
        <v>1</v>
      </c>
      <c r="C675">
        <v>2</v>
      </c>
      <c r="D675">
        <v>120</v>
      </c>
      <c r="E675">
        <v>258</v>
      </c>
      <c r="F675">
        <v>0</v>
      </c>
      <c r="G675">
        <v>0</v>
      </c>
      <c r="H675">
        <v>147</v>
      </c>
      <c r="I675">
        <v>0</v>
      </c>
      <c r="J675">
        <v>0.4</v>
      </c>
      <c r="K675">
        <v>1</v>
      </c>
      <c r="L675">
        <v>0</v>
      </c>
      <c r="M675">
        <v>3</v>
      </c>
      <c r="N675">
        <v>1</v>
      </c>
      <c r="O675" t="str">
        <f t="shared" si="60"/>
        <v>Male</v>
      </c>
      <c r="P675" t="str">
        <f t="shared" si="61"/>
        <v>Heart Disease</v>
      </c>
      <c r="Q675" t="str">
        <f t="shared" si="62"/>
        <v>Non-Anginal Pain</v>
      </c>
      <c r="R675" t="str">
        <f t="shared" si="63"/>
        <v>Normal</v>
      </c>
      <c r="S675" t="str">
        <f t="shared" si="64"/>
        <v>No</v>
      </c>
      <c r="T675" t="str" cm="1">
        <f t="array" ref="T675">_xlfn.IFS(A674&lt;30,"18-29",A674&lt;40,"30-39",A674&lt;50,"40-49",A674&lt;60,"50-59",A674&gt;=60,"60+")</f>
        <v>60+</v>
      </c>
      <c r="U675" t="str">
        <f t="shared" si="65"/>
        <v>Elevated</v>
      </c>
    </row>
    <row r="676" spans="1:21">
      <c r="A676">
        <v>63</v>
      </c>
      <c r="B676">
        <v>1</v>
      </c>
      <c r="C676">
        <v>0</v>
      </c>
      <c r="D676">
        <v>130</v>
      </c>
      <c r="E676">
        <v>330</v>
      </c>
      <c r="F676">
        <v>1</v>
      </c>
      <c r="G676">
        <v>0</v>
      </c>
      <c r="H676">
        <v>132</v>
      </c>
      <c r="I676">
        <v>1</v>
      </c>
      <c r="J676">
        <v>1.8</v>
      </c>
      <c r="K676">
        <v>2</v>
      </c>
      <c r="L676">
        <v>3</v>
      </c>
      <c r="M676">
        <v>3</v>
      </c>
      <c r="N676">
        <v>0</v>
      </c>
      <c r="O676" t="str">
        <f t="shared" si="60"/>
        <v>Male</v>
      </c>
      <c r="P676" t="str">
        <f t="shared" si="61"/>
        <v>No Disease</v>
      </c>
      <c r="Q676" t="str">
        <f t="shared" si="62"/>
        <v>Typical Angina</v>
      </c>
      <c r="R676" t="str">
        <f t="shared" si="63"/>
        <v>High</v>
      </c>
      <c r="S676" t="str">
        <f t="shared" si="64"/>
        <v>Yes</v>
      </c>
      <c r="T676" t="str" cm="1">
        <f t="array" ref="T676">_xlfn.IFS(A675&lt;30,"18-29",A675&lt;40,"30-39",A675&lt;50,"40-49",A675&lt;60,"50-59",A675&gt;=60,"60+")</f>
        <v>50-59</v>
      </c>
      <c r="U676" t="str">
        <f t="shared" si="65"/>
        <v>High (Stage 1)</v>
      </c>
    </row>
    <row r="677" spans="1:21">
      <c r="A677">
        <v>58</v>
      </c>
      <c r="B677">
        <v>1</v>
      </c>
      <c r="C677">
        <v>0</v>
      </c>
      <c r="D677">
        <v>100</v>
      </c>
      <c r="E677">
        <v>234</v>
      </c>
      <c r="F677">
        <v>0</v>
      </c>
      <c r="G677">
        <v>1</v>
      </c>
      <c r="H677">
        <v>156</v>
      </c>
      <c r="I677">
        <v>0</v>
      </c>
      <c r="J677">
        <v>0.1</v>
      </c>
      <c r="K677">
        <v>2</v>
      </c>
      <c r="L677">
        <v>1</v>
      </c>
      <c r="M677">
        <v>3</v>
      </c>
      <c r="N677">
        <v>0</v>
      </c>
      <c r="O677" t="str">
        <f t="shared" si="60"/>
        <v>Male</v>
      </c>
      <c r="P677" t="str">
        <f t="shared" si="61"/>
        <v>No Disease</v>
      </c>
      <c r="Q677" t="str">
        <f t="shared" si="62"/>
        <v>Typical Angina</v>
      </c>
      <c r="R677" t="str">
        <f t="shared" si="63"/>
        <v>Normal</v>
      </c>
      <c r="S677" t="str">
        <f t="shared" si="64"/>
        <v>No</v>
      </c>
      <c r="T677" t="str" cm="1">
        <f t="array" ref="T677">_xlfn.IFS(A676&lt;30,"18-29",A676&lt;40,"30-39",A676&lt;50,"40-49",A676&lt;60,"50-59",A676&gt;=60,"60+")</f>
        <v>60+</v>
      </c>
      <c r="U677" t="str">
        <f t="shared" si="65"/>
        <v>Normal</v>
      </c>
    </row>
    <row r="678" spans="1:21">
      <c r="A678">
        <v>60</v>
      </c>
      <c r="B678">
        <v>1</v>
      </c>
      <c r="C678">
        <v>0</v>
      </c>
      <c r="D678">
        <v>130</v>
      </c>
      <c r="E678">
        <v>253</v>
      </c>
      <c r="F678">
        <v>0</v>
      </c>
      <c r="G678">
        <v>1</v>
      </c>
      <c r="H678">
        <v>144</v>
      </c>
      <c r="I678">
        <v>1</v>
      </c>
      <c r="J678">
        <v>1.4</v>
      </c>
      <c r="K678">
        <v>2</v>
      </c>
      <c r="L678">
        <v>1</v>
      </c>
      <c r="M678">
        <v>3</v>
      </c>
      <c r="N678">
        <v>0</v>
      </c>
      <c r="O678" t="str">
        <f t="shared" si="60"/>
        <v>Male</v>
      </c>
      <c r="P678" t="str">
        <f t="shared" si="61"/>
        <v>No Disease</v>
      </c>
      <c r="Q678" t="str">
        <f t="shared" si="62"/>
        <v>Typical Angina</v>
      </c>
      <c r="R678" t="str">
        <f t="shared" si="63"/>
        <v>Normal</v>
      </c>
      <c r="S678" t="str">
        <f t="shared" si="64"/>
        <v>Yes</v>
      </c>
      <c r="T678" t="str" cm="1">
        <f t="array" ref="T678">_xlfn.IFS(A677&lt;30,"18-29",A677&lt;40,"30-39",A677&lt;50,"40-49",A677&lt;60,"50-59",A677&gt;=60,"60+")</f>
        <v>50-59</v>
      </c>
      <c r="U678" t="str">
        <f t="shared" si="65"/>
        <v>High (Stage 1)</v>
      </c>
    </row>
    <row r="679" spans="1:21">
      <c r="A679">
        <v>63</v>
      </c>
      <c r="B679">
        <v>1</v>
      </c>
      <c r="C679">
        <v>0</v>
      </c>
      <c r="D679">
        <v>130</v>
      </c>
      <c r="E679">
        <v>254</v>
      </c>
      <c r="F679">
        <v>0</v>
      </c>
      <c r="G679">
        <v>0</v>
      </c>
      <c r="H679">
        <v>147</v>
      </c>
      <c r="I679">
        <v>0</v>
      </c>
      <c r="J679">
        <v>1.4</v>
      </c>
      <c r="K679">
        <v>1</v>
      </c>
      <c r="L679">
        <v>1</v>
      </c>
      <c r="M679">
        <v>3</v>
      </c>
      <c r="N679">
        <v>0</v>
      </c>
      <c r="O679" t="str">
        <f t="shared" si="60"/>
        <v>Male</v>
      </c>
      <c r="P679" t="str">
        <f t="shared" si="61"/>
        <v>No Disease</v>
      </c>
      <c r="Q679" t="str">
        <f t="shared" si="62"/>
        <v>Typical Angina</v>
      </c>
      <c r="R679" t="str">
        <f t="shared" si="63"/>
        <v>Normal</v>
      </c>
      <c r="S679" t="str">
        <f t="shared" si="64"/>
        <v>No</v>
      </c>
      <c r="T679" t="str" cm="1">
        <f t="array" ref="T679">_xlfn.IFS(A678&lt;30,"18-29",A678&lt;40,"30-39",A678&lt;50,"40-49",A678&lt;60,"50-59",A678&gt;=60,"60+")</f>
        <v>60+</v>
      </c>
      <c r="U679" t="str">
        <f t="shared" si="65"/>
        <v>High (Stage 1)</v>
      </c>
    </row>
    <row r="680" spans="1:21">
      <c r="A680">
        <v>41</v>
      </c>
      <c r="B680">
        <v>0</v>
      </c>
      <c r="C680">
        <v>2</v>
      </c>
      <c r="D680">
        <v>112</v>
      </c>
      <c r="E680">
        <v>268</v>
      </c>
      <c r="F680">
        <v>0</v>
      </c>
      <c r="G680">
        <v>0</v>
      </c>
      <c r="H680">
        <v>172</v>
      </c>
      <c r="I680">
        <v>1</v>
      </c>
      <c r="J680">
        <v>0</v>
      </c>
      <c r="K680">
        <v>2</v>
      </c>
      <c r="L680">
        <v>0</v>
      </c>
      <c r="M680">
        <v>2</v>
      </c>
      <c r="N680">
        <v>1</v>
      </c>
      <c r="O680" t="str">
        <f t="shared" si="60"/>
        <v>Female</v>
      </c>
      <c r="P680" t="str">
        <f t="shared" si="61"/>
        <v>Heart Disease</v>
      </c>
      <c r="Q680" t="str">
        <f t="shared" si="62"/>
        <v>Non-Anginal Pain</v>
      </c>
      <c r="R680" t="str">
        <f t="shared" si="63"/>
        <v>Normal</v>
      </c>
      <c r="S680" t="str">
        <f t="shared" si="64"/>
        <v>Yes</v>
      </c>
      <c r="T680" t="str" cm="1">
        <f t="array" ref="T680">_xlfn.IFS(A679&lt;30,"18-29",A679&lt;40,"30-39",A679&lt;50,"40-49",A679&lt;60,"50-59",A679&gt;=60,"60+")</f>
        <v>60+</v>
      </c>
      <c r="U680" t="str">
        <f t="shared" si="65"/>
        <v>Normal</v>
      </c>
    </row>
    <row r="681" spans="1:21">
      <c r="A681">
        <v>68</v>
      </c>
      <c r="B681">
        <v>1</v>
      </c>
      <c r="C681">
        <v>2</v>
      </c>
      <c r="D681">
        <v>180</v>
      </c>
      <c r="E681">
        <v>274</v>
      </c>
      <c r="F681">
        <v>1</v>
      </c>
      <c r="G681">
        <v>0</v>
      </c>
      <c r="H681">
        <v>150</v>
      </c>
      <c r="I681">
        <v>1</v>
      </c>
      <c r="J681">
        <v>1.6</v>
      </c>
      <c r="K681">
        <v>1</v>
      </c>
      <c r="L681">
        <v>0</v>
      </c>
      <c r="M681">
        <v>3</v>
      </c>
      <c r="N681">
        <v>0</v>
      </c>
      <c r="O681" t="str">
        <f t="shared" si="60"/>
        <v>Male</v>
      </c>
      <c r="P681" t="str">
        <f t="shared" si="61"/>
        <v>No Disease</v>
      </c>
      <c r="Q681" t="str">
        <f t="shared" si="62"/>
        <v>Non-Anginal Pain</v>
      </c>
      <c r="R681" t="str">
        <f t="shared" si="63"/>
        <v>High</v>
      </c>
      <c r="S681" t="str">
        <f t="shared" si="64"/>
        <v>Yes</v>
      </c>
      <c r="T681" t="str" cm="1">
        <f t="array" ref="T681">_xlfn.IFS(A680&lt;30,"18-29",A680&lt;40,"30-39",A680&lt;50,"40-49",A680&lt;60,"50-59",A680&gt;=60,"60+")</f>
        <v>40-49</v>
      </c>
      <c r="U681" t="str">
        <f t="shared" si="65"/>
        <v>High (Stage 2)</v>
      </c>
    </row>
    <row r="682" spans="1:21">
      <c r="A682">
        <v>42</v>
      </c>
      <c r="B682">
        <v>1</v>
      </c>
      <c r="C682">
        <v>1</v>
      </c>
      <c r="D682">
        <v>120</v>
      </c>
      <c r="E682">
        <v>295</v>
      </c>
      <c r="F682">
        <v>0</v>
      </c>
      <c r="G682">
        <v>1</v>
      </c>
      <c r="H682">
        <v>162</v>
      </c>
      <c r="I682">
        <v>0</v>
      </c>
      <c r="J682">
        <v>0</v>
      </c>
      <c r="K682">
        <v>2</v>
      </c>
      <c r="L682">
        <v>0</v>
      </c>
      <c r="M682">
        <v>2</v>
      </c>
      <c r="N682">
        <v>1</v>
      </c>
      <c r="O682" t="str">
        <f t="shared" si="60"/>
        <v>Male</v>
      </c>
      <c r="P682" t="str">
        <f t="shared" si="61"/>
        <v>Heart Disease</v>
      </c>
      <c r="Q682" t="str">
        <f t="shared" si="62"/>
        <v>Atypical Angina</v>
      </c>
      <c r="R682" t="str">
        <f t="shared" si="63"/>
        <v>Normal</v>
      </c>
      <c r="S682" t="str">
        <f t="shared" si="64"/>
        <v>No</v>
      </c>
      <c r="T682" t="str" cm="1">
        <f t="array" ref="T682">_xlfn.IFS(A681&lt;30,"18-29",A681&lt;40,"30-39",A681&lt;50,"40-49",A681&lt;60,"50-59",A681&gt;=60,"60+")</f>
        <v>60+</v>
      </c>
      <c r="U682" t="str">
        <f t="shared" si="65"/>
        <v>Elevated</v>
      </c>
    </row>
    <row r="683" spans="1:21">
      <c r="A683">
        <v>59</v>
      </c>
      <c r="B683">
        <v>1</v>
      </c>
      <c r="C683">
        <v>0</v>
      </c>
      <c r="D683">
        <v>170</v>
      </c>
      <c r="E683">
        <v>326</v>
      </c>
      <c r="F683">
        <v>0</v>
      </c>
      <c r="G683">
        <v>0</v>
      </c>
      <c r="H683">
        <v>140</v>
      </c>
      <c r="I683">
        <v>1</v>
      </c>
      <c r="J683">
        <v>3.4</v>
      </c>
      <c r="K683">
        <v>0</v>
      </c>
      <c r="L683">
        <v>0</v>
      </c>
      <c r="M683">
        <v>3</v>
      </c>
      <c r="N683">
        <v>0</v>
      </c>
      <c r="O683" t="str">
        <f t="shared" si="60"/>
        <v>Male</v>
      </c>
      <c r="P683" t="str">
        <f t="shared" si="61"/>
        <v>No Disease</v>
      </c>
      <c r="Q683" t="str">
        <f t="shared" si="62"/>
        <v>Typical Angina</v>
      </c>
      <c r="R683" t="str">
        <f t="shared" si="63"/>
        <v>Normal</v>
      </c>
      <c r="S683" t="str">
        <f t="shared" si="64"/>
        <v>Yes</v>
      </c>
      <c r="T683" t="str" cm="1">
        <f t="array" ref="T683">_xlfn.IFS(A682&lt;30,"18-29",A682&lt;40,"30-39",A682&lt;50,"40-49",A682&lt;60,"50-59",A682&gt;=60,"60+")</f>
        <v>40-49</v>
      </c>
      <c r="U683" t="str">
        <f t="shared" si="65"/>
        <v>High (Stage 2)</v>
      </c>
    </row>
    <row r="684" spans="1:21">
      <c r="A684">
        <v>59</v>
      </c>
      <c r="B684">
        <v>1</v>
      </c>
      <c r="C684">
        <v>0</v>
      </c>
      <c r="D684">
        <v>164</v>
      </c>
      <c r="E684">
        <v>176</v>
      </c>
      <c r="F684">
        <v>1</v>
      </c>
      <c r="G684">
        <v>0</v>
      </c>
      <c r="H684">
        <v>90</v>
      </c>
      <c r="I684">
        <v>0</v>
      </c>
      <c r="J684">
        <v>1</v>
      </c>
      <c r="K684">
        <v>1</v>
      </c>
      <c r="L684">
        <v>2</v>
      </c>
      <c r="M684">
        <v>1</v>
      </c>
      <c r="N684">
        <v>0</v>
      </c>
      <c r="O684" t="str">
        <f t="shared" si="60"/>
        <v>Male</v>
      </c>
      <c r="P684" t="str">
        <f t="shared" si="61"/>
        <v>No Disease</v>
      </c>
      <c r="Q684" t="str">
        <f t="shared" si="62"/>
        <v>Typical Angina</v>
      </c>
      <c r="R684" t="str">
        <f t="shared" si="63"/>
        <v>High</v>
      </c>
      <c r="S684" t="str">
        <f t="shared" si="64"/>
        <v>No</v>
      </c>
      <c r="T684" t="str" cm="1">
        <f t="array" ref="T684">_xlfn.IFS(A683&lt;30,"18-29",A683&lt;40,"30-39",A683&lt;50,"40-49",A683&lt;60,"50-59",A683&gt;=60,"60+")</f>
        <v>50-59</v>
      </c>
      <c r="U684" t="str">
        <f t="shared" si="65"/>
        <v>High (Stage 2)</v>
      </c>
    </row>
    <row r="685" spans="1:21">
      <c r="A685">
        <v>43</v>
      </c>
      <c r="B685">
        <v>1</v>
      </c>
      <c r="C685">
        <v>0</v>
      </c>
      <c r="D685">
        <v>120</v>
      </c>
      <c r="E685">
        <v>177</v>
      </c>
      <c r="F685">
        <v>0</v>
      </c>
      <c r="G685">
        <v>0</v>
      </c>
      <c r="H685">
        <v>120</v>
      </c>
      <c r="I685">
        <v>1</v>
      </c>
      <c r="J685">
        <v>2.5</v>
      </c>
      <c r="K685">
        <v>1</v>
      </c>
      <c r="L685">
        <v>0</v>
      </c>
      <c r="M685">
        <v>3</v>
      </c>
      <c r="N685">
        <v>0</v>
      </c>
      <c r="O685" t="str">
        <f t="shared" si="60"/>
        <v>Male</v>
      </c>
      <c r="P685" t="str">
        <f t="shared" si="61"/>
        <v>No Disease</v>
      </c>
      <c r="Q685" t="str">
        <f t="shared" si="62"/>
        <v>Typical Angina</v>
      </c>
      <c r="R685" t="str">
        <f t="shared" si="63"/>
        <v>Normal</v>
      </c>
      <c r="S685" t="str">
        <f t="shared" si="64"/>
        <v>Yes</v>
      </c>
      <c r="T685" t="str" cm="1">
        <f t="array" ref="T685">_xlfn.IFS(A684&lt;30,"18-29",A684&lt;40,"30-39",A684&lt;50,"40-49",A684&lt;60,"50-59",A684&gt;=60,"60+")</f>
        <v>50-59</v>
      </c>
      <c r="U685" t="str">
        <f t="shared" si="65"/>
        <v>Elevated</v>
      </c>
    </row>
    <row r="686" spans="1:21">
      <c r="A686">
        <v>60</v>
      </c>
      <c r="B686">
        <v>1</v>
      </c>
      <c r="C686">
        <v>2</v>
      </c>
      <c r="D686">
        <v>140</v>
      </c>
      <c r="E686">
        <v>185</v>
      </c>
      <c r="F686">
        <v>0</v>
      </c>
      <c r="G686">
        <v>0</v>
      </c>
      <c r="H686">
        <v>155</v>
      </c>
      <c r="I686">
        <v>0</v>
      </c>
      <c r="J686">
        <v>3</v>
      </c>
      <c r="K686">
        <v>1</v>
      </c>
      <c r="L686">
        <v>0</v>
      </c>
      <c r="M686">
        <v>2</v>
      </c>
      <c r="N686">
        <v>0</v>
      </c>
      <c r="O686" t="str">
        <f t="shared" si="60"/>
        <v>Male</v>
      </c>
      <c r="P686" t="str">
        <f t="shared" si="61"/>
        <v>No Disease</v>
      </c>
      <c r="Q686" t="str">
        <f t="shared" si="62"/>
        <v>Non-Anginal Pain</v>
      </c>
      <c r="R686" t="str">
        <f t="shared" si="63"/>
        <v>Normal</v>
      </c>
      <c r="S686" t="str">
        <f t="shared" si="64"/>
        <v>No</v>
      </c>
      <c r="T686" t="str" cm="1">
        <f t="array" ref="T686">_xlfn.IFS(A685&lt;30,"18-29",A685&lt;40,"30-39",A685&lt;50,"40-49",A685&lt;60,"50-59",A685&gt;=60,"60+")</f>
        <v>40-49</v>
      </c>
      <c r="U686" t="str">
        <f t="shared" si="65"/>
        <v>High (Stage 2)</v>
      </c>
    </row>
    <row r="687" spans="1:21">
      <c r="A687">
        <v>63</v>
      </c>
      <c r="B687">
        <v>0</v>
      </c>
      <c r="C687">
        <v>0</v>
      </c>
      <c r="D687">
        <v>150</v>
      </c>
      <c r="E687">
        <v>407</v>
      </c>
      <c r="F687">
        <v>0</v>
      </c>
      <c r="G687">
        <v>0</v>
      </c>
      <c r="H687">
        <v>154</v>
      </c>
      <c r="I687">
        <v>0</v>
      </c>
      <c r="J687">
        <v>4</v>
      </c>
      <c r="K687">
        <v>1</v>
      </c>
      <c r="L687">
        <v>3</v>
      </c>
      <c r="M687">
        <v>3</v>
      </c>
      <c r="N687">
        <v>0</v>
      </c>
      <c r="O687" t="str">
        <f t="shared" si="60"/>
        <v>Female</v>
      </c>
      <c r="P687" t="str">
        <f t="shared" si="61"/>
        <v>No Disease</v>
      </c>
      <c r="Q687" t="str">
        <f t="shared" si="62"/>
        <v>Typical Angina</v>
      </c>
      <c r="R687" t="str">
        <f t="shared" si="63"/>
        <v>Normal</v>
      </c>
      <c r="S687" t="str">
        <f t="shared" si="64"/>
        <v>No</v>
      </c>
      <c r="T687" t="str" cm="1">
        <f t="array" ref="T687">_xlfn.IFS(A686&lt;30,"18-29",A686&lt;40,"30-39",A686&lt;50,"40-49",A686&lt;60,"50-59",A686&gt;=60,"60+")</f>
        <v>60+</v>
      </c>
      <c r="U687" t="str">
        <f t="shared" si="65"/>
        <v>High (Stage 2)</v>
      </c>
    </row>
    <row r="688" spans="1:21">
      <c r="A688">
        <v>52</v>
      </c>
      <c r="B688">
        <v>1</v>
      </c>
      <c r="C688">
        <v>0</v>
      </c>
      <c r="D688">
        <v>128</v>
      </c>
      <c r="E688">
        <v>204</v>
      </c>
      <c r="F688">
        <v>1</v>
      </c>
      <c r="G688">
        <v>1</v>
      </c>
      <c r="H688">
        <v>156</v>
      </c>
      <c r="I688">
        <v>1</v>
      </c>
      <c r="J688">
        <v>1</v>
      </c>
      <c r="K688">
        <v>1</v>
      </c>
      <c r="L688">
        <v>0</v>
      </c>
      <c r="M688">
        <v>0</v>
      </c>
      <c r="N688">
        <v>0</v>
      </c>
      <c r="O688" t="str">
        <f t="shared" si="60"/>
        <v>Male</v>
      </c>
      <c r="P688" t="str">
        <f t="shared" si="61"/>
        <v>No Disease</v>
      </c>
      <c r="Q688" t="str">
        <f t="shared" si="62"/>
        <v>Typical Angina</v>
      </c>
      <c r="R688" t="str">
        <f t="shared" si="63"/>
        <v>High</v>
      </c>
      <c r="S688" t="str">
        <f t="shared" si="64"/>
        <v>Yes</v>
      </c>
      <c r="T688" t="str" cm="1">
        <f t="array" ref="T688">_xlfn.IFS(A687&lt;30,"18-29",A687&lt;40,"30-39",A687&lt;50,"40-49",A687&lt;60,"50-59",A687&gt;=60,"60+")</f>
        <v>60+</v>
      </c>
      <c r="U688" t="str">
        <f t="shared" si="65"/>
        <v>Elevated</v>
      </c>
    </row>
    <row r="689" spans="1:21">
      <c r="A689">
        <v>58</v>
      </c>
      <c r="B689">
        <v>1</v>
      </c>
      <c r="C689">
        <v>0</v>
      </c>
      <c r="D689">
        <v>125</v>
      </c>
      <c r="E689">
        <v>300</v>
      </c>
      <c r="F689">
        <v>0</v>
      </c>
      <c r="G689">
        <v>0</v>
      </c>
      <c r="H689">
        <v>171</v>
      </c>
      <c r="I689">
        <v>0</v>
      </c>
      <c r="J689">
        <v>0</v>
      </c>
      <c r="K689">
        <v>2</v>
      </c>
      <c r="L689">
        <v>2</v>
      </c>
      <c r="M689">
        <v>3</v>
      </c>
      <c r="N689">
        <v>0</v>
      </c>
      <c r="O689" t="str">
        <f t="shared" si="60"/>
        <v>Male</v>
      </c>
      <c r="P689" t="str">
        <f t="shared" si="61"/>
        <v>No Disease</v>
      </c>
      <c r="Q689" t="str">
        <f t="shared" si="62"/>
        <v>Typical Angina</v>
      </c>
      <c r="R689" t="str">
        <f t="shared" si="63"/>
        <v>Normal</v>
      </c>
      <c r="S689" t="str">
        <f t="shared" si="64"/>
        <v>No</v>
      </c>
      <c r="T689" t="str" cm="1">
        <f t="array" ref="T689">_xlfn.IFS(A688&lt;30,"18-29",A688&lt;40,"30-39",A688&lt;50,"40-49",A688&lt;60,"50-59",A688&gt;=60,"60+")</f>
        <v>50-59</v>
      </c>
      <c r="U689" t="str">
        <f t="shared" si="65"/>
        <v>Elevated</v>
      </c>
    </row>
    <row r="690" spans="1:21">
      <c r="A690">
        <v>56</v>
      </c>
      <c r="B690">
        <v>0</v>
      </c>
      <c r="C690">
        <v>0</v>
      </c>
      <c r="D690">
        <v>200</v>
      </c>
      <c r="E690">
        <v>288</v>
      </c>
      <c r="F690">
        <v>1</v>
      </c>
      <c r="G690">
        <v>0</v>
      </c>
      <c r="H690">
        <v>133</v>
      </c>
      <c r="I690">
        <v>1</v>
      </c>
      <c r="J690">
        <v>4</v>
      </c>
      <c r="K690">
        <v>0</v>
      </c>
      <c r="L690">
        <v>2</v>
      </c>
      <c r="M690">
        <v>3</v>
      </c>
      <c r="N690">
        <v>0</v>
      </c>
      <c r="O690" t="str">
        <f t="shared" si="60"/>
        <v>Female</v>
      </c>
      <c r="P690" t="str">
        <f t="shared" si="61"/>
        <v>No Disease</v>
      </c>
      <c r="Q690" t="str">
        <f t="shared" si="62"/>
        <v>Typical Angina</v>
      </c>
      <c r="R690" t="str">
        <f t="shared" si="63"/>
        <v>High</v>
      </c>
      <c r="S690" t="str">
        <f t="shared" si="64"/>
        <v>Yes</v>
      </c>
      <c r="T690" t="str" cm="1">
        <f t="array" ref="T690">_xlfn.IFS(A689&lt;30,"18-29",A689&lt;40,"30-39",A689&lt;50,"40-49",A689&lt;60,"50-59",A689&gt;=60,"60+")</f>
        <v>50-59</v>
      </c>
      <c r="U690" t="str">
        <f t="shared" si="65"/>
        <v>High (Stage 2)</v>
      </c>
    </row>
    <row r="691" spans="1:21">
      <c r="A691">
        <v>54</v>
      </c>
      <c r="B691">
        <v>0</v>
      </c>
      <c r="C691">
        <v>2</v>
      </c>
      <c r="D691">
        <v>135</v>
      </c>
      <c r="E691">
        <v>304</v>
      </c>
      <c r="F691">
        <v>1</v>
      </c>
      <c r="G691">
        <v>1</v>
      </c>
      <c r="H691">
        <v>170</v>
      </c>
      <c r="I691">
        <v>0</v>
      </c>
      <c r="J691">
        <v>0</v>
      </c>
      <c r="K691">
        <v>2</v>
      </c>
      <c r="L691">
        <v>0</v>
      </c>
      <c r="M691">
        <v>2</v>
      </c>
      <c r="N691">
        <v>1</v>
      </c>
      <c r="O691" t="str">
        <f t="shared" si="60"/>
        <v>Female</v>
      </c>
      <c r="P691" t="str">
        <f t="shared" si="61"/>
        <v>Heart Disease</v>
      </c>
      <c r="Q691" t="str">
        <f t="shared" si="62"/>
        <v>Non-Anginal Pain</v>
      </c>
      <c r="R691" t="str">
        <f t="shared" si="63"/>
        <v>High</v>
      </c>
      <c r="S691" t="str">
        <f t="shared" si="64"/>
        <v>No</v>
      </c>
      <c r="T691" t="str" cm="1">
        <f t="array" ref="T691">_xlfn.IFS(A690&lt;30,"18-29",A690&lt;40,"30-39",A690&lt;50,"40-49",A690&lt;60,"50-59",A690&gt;=60,"60+")</f>
        <v>50-59</v>
      </c>
      <c r="U691" t="str">
        <f t="shared" si="65"/>
        <v>High (Stage 1)</v>
      </c>
    </row>
    <row r="692" spans="1:21">
      <c r="A692">
        <v>58</v>
      </c>
      <c r="B692">
        <v>1</v>
      </c>
      <c r="C692">
        <v>2</v>
      </c>
      <c r="D692">
        <v>105</v>
      </c>
      <c r="E692">
        <v>240</v>
      </c>
      <c r="F692">
        <v>0</v>
      </c>
      <c r="G692">
        <v>0</v>
      </c>
      <c r="H692">
        <v>154</v>
      </c>
      <c r="I692">
        <v>1</v>
      </c>
      <c r="J692">
        <v>0.6</v>
      </c>
      <c r="K692">
        <v>1</v>
      </c>
      <c r="L692">
        <v>0</v>
      </c>
      <c r="M692">
        <v>3</v>
      </c>
      <c r="N692">
        <v>1</v>
      </c>
      <c r="O692" t="str">
        <f t="shared" si="60"/>
        <v>Male</v>
      </c>
      <c r="P692" t="str">
        <f t="shared" si="61"/>
        <v>Heart Disease</v>
      </c>
      <c r="Q692" t="str">
        <f t="shared" si="62"/>
        <v>Non-Anginal Pain</v>
      </c>
      <c r="R692" t="str">
        <f t="shared" si="63"/>
        <v>Normal</v>
      </c>
      <c r="S692" t="str">
        <f t="shared" si="64"/>
        <v>Yes</v>
      </c>
      <c r="T692" t="str" cm="1">
        <f t="array" ref="T692">_xlfn.IFS(A691&lt;30,"18-29",A691&lt;40,"30-39",A691&lt;50,"40-49",A691&lt;60,"50-59",A691&gt;=60,"60+")</f>
        <v>50-59</v>
      </c>
      <c r="U692" t="str">
        <f t="shared" si="65"/>
        <v>Normal</v>
      </c>
    </row>
    <row r="693" spans="1:21">
      <c r="A693">
        <v>55</v>
      </c>
      <c r="B693">
        <v>0</v>
      </c>
      <c r="C693">
        <v>1</v>
      </c>
      <c r="D693">
        <v>135</v>
      </c>
      <c r="E693">
        <v>250</v>
      </c>
      <c r="F693">
        <v>0</v>
      </c>
      <c r="G693">
        <v>0</v>
      </c>
      <c r="H693">
        <v>161</v>
      </c>
      <c r="I693">
        <v>0</v>
      </c>
      <c r="J693">
        <v>1.4</v>
      </c>
      <c r="K693">
        <v>1</v>
      </c>
      <c r="L693">
        <v>0</v>
      </c>
      <c r="M693">
        <v>2</v>
      </c>
      <c r="N693">
        <v>1</v>
      </c>
      <c r="O693" t="str">
        <f t="shared" si="60"/>
        <v>Female</v>
      </c>
      <c r="P693" t="str">
        <f t="shared" si="61"/>
        <v>Heart Disease</v>
      </c>
      <c r="Q693" t="str">
        <f t="shared" si="62"/>
        <v>Atypical Angina</v>
      </c>
      <c r="R693" t="str">
        <f t="shared" si="63"/>
        <v>Normal</v>
      </c>
      <c r="S693" t="str">
        <f t="shared" si="64"/>
        <v>No</v>
      </c>
      <c r="T693" t="str" cm="1">
        <f t="array" ref="T693">_xlfn.IFS(A692&lt;30,"18-29",A692&lt;40,"30-39",A692&lt;50,"40-49",A692&lt;60,"50-59",A692&gt;=60,"60+")</f>
        <v>50-59</v>
      </c>
      <c r="U693" t="str">
        <f t="shared" si="65"/>
        <v>High (Stage 1)</v>
      </c>
    </row>
    <row r="694" spans="1:21">
      <c r="A694">
        <v>53</v>
      </c>
      <c r="B694">
        <v>1</v>
      </c>
      <c r="C694">
        <v>0</v>
      </c>
      <c r="D694">
        <v>140</v>
      </c>
      <c r="E694">
        <v>203</v>
      </c>
      <c r="F694">
        <v>1</v>
      </c>
      <c r="G694">
        <v>0</v>
      </c>
      <c r="H694">
        <v>155</v>
      </c>
      <c r="I694">
        <v>1</v>
      </c>
      <c r="J694">
        <v>3.1</v>
      </c>
      <c r="K694">
        <v>0</v>
      </c>
      <c r="L694">
        <v>0</v>
      </c>
      <c r="M694">
        <v>3</v>
      </c>
      <c r="N694">
        <v>0</v>
      </c>
      <c r="O694" t="str">
        <f t="shared" si="60"/>
        <v>Male</v>
      </c>
      <c r="P694" t="str">
        <f t="shared" si="61"/>
        <v>No Disease</v>
      </c>
      <c r="Q694" t="str">
        <f t="shared" si="62"/>
        <v>Typical Angina</v>
      </c>
      <c r="R694" t="str">
        <f t="shared" si="63"/>
        <v>High</v>
      </c>
      <c r="S694" t="str">
        <f t="shared" si="64"/>
        <v>Yes</v>
      </c>
      <c r="T694" t="str" cm="1">
        <f t="array" ref="T694">_xlfn.IFS(A693&lt;30,"18-29",A693&lt;40,"30-39",A693&lt;50,"40-49",A693&lt;60,"50-59",A693&gt;=60,"60+")</f>
        <v>50-59</v>
      </c>
      <c r="U694" t="str">
        <f t="shared" si="65"/>
        <v>High (Stage 2)</v>
      </c>
    </row>
    <row r="695" spans="1:21">
      <c r="A695">
        <v>63</v>
      </c>
      <c r="B695">
        <v>0</v>
      </c>
      <c r="C695">
        <v>1</v>
      </c>
      <c r="D695">
        <v>140</v>
      </c>
      <c r="E695">
        <v>195</v>
      </c>
      <c r="F695">
        <v>0</v>
      </c>
      <c r="G695">
        <v>1</v>
      </c>
      <c r="H695">
        <v>179</v>
      </c>
      <c r="I695">
        <v>0</v>
      </c>
      <c r="J695">
        <v>0</v>
      </c>
      <c r="K695">
        <v>2</v>
      </c>
      <c r="L695">
        <v>2</v>
      </c>
      <c r="M695">
        <v>2</v>
      </c>
      <c r="N695">
        <v>1</v>
      </c>
      <c r="O695" t="str">
        <f t="shared" si="60"/>
        <v>Female</v>
      </c>
      <c r="P695" t="str">
        <f t="shared" si="61"/>
        <v>Heart Disease</v>
      </c>
      <c r="Q695" t="str">
        <f t="shared" si="62"/>
        <v>Atypical Angina</v>
      </c>
      <c r="R695" t="str">
        <f t="shared" si="63"/>
        <v>Normal</v>
      </c>
      <c r="S695" t="str">
        <f t="shared" si="64"/>
        <v>No</v>
      </c>
      <c r="T695" t="str" cm="1">
        <f t="array" ref="T695">_xlfn.IFS(A694&lt;30,"18-29",A694&lt;40,"30-39",A694&lt;50,"40-49",A694&lt;60,"50-59",A694&gt;=60,"60+")</f>
        <v>50-59</v>
      </c>
      <c r="U695" t="str">
        <f t="shared" si="65"/>
        <v>High (Stage 2)</v>
      </c>
    </row>
    <row r="696" spans="1:21">
      <c r="A696">
        <v>39</v>
      </c>
      <c r="B696">
        <v>1</v>
      </c>
      <c r="C696">
        <v>0</v>
      </c>
      <c r="D696">
        <v>118</v>
      </c>
      <c r="E696">
        <v>219</v>
      </c>
      <c r="F696">
        <v>0</v>
      </c>
      <c r="G696">
        <v>1</v>
      </c>
      <c r="H696">
        <v>140</v>
      </c>
      <c r="I696">
        <v>0</v>
      </c>
      <c r="J696">
        <v>1.2</v>
      </c>
      <c r="K696">
        <v>1</v>
      </c>
      <c r="L696">
        <v>0</v>
      </c>
      <c r="M696">
        <v>3</v>
      </c>
      <c r="N696">
        <v>0</v>
      </c>
      <c r="O696" t="str">
        <f t="shared" si="60"/>
        <v>Male</v>
      </c>
      <c r="P696" t="str">
        <f t="shared" si="61"/>
        <v>No Disease</v>
      </c>
      <c r="Q696" t="str">
        <f t="shared" si="62"/>
        <v>Typical Angina</v>
      </c>
      <c r="R696" t="str">
        <f t="shared" si="63"/>
        <v>Normal</v>
      </c>
      <c r="S696" t="str">
        <f t="shared" si="64"/>
        <v>No</v>
      </c>
      <c r="T696" t="str" cm="1">
        <f t="array" ref="T696">_xlfn.IFS(A695&lt;30,"18-29",A695&lt;40,"30-39",A695&lt;50,"40-49",A695&lt;60,"50-59",A695&gt;=60,"60+")</f>
        <v>60+</v>
      </c>
      <c r="U696" t="str">
        <f t="shared" si="65"/>
        <v>Normal</v>
      </c>
    </row>
    <row r="697" spans="1:21">
      <c r="A697">
        <v>35</v>
      </c>
      <c r="B697">
        <v>1</v>
      </c>
      <c r="C697">
        <v>0</v>
      </c>
      <c r="D697">
        <v>126</v>
      </c>
      <c r="E697">
        <v>282</v>
      </c>
      <c r="F697">
        <v>0</v>
      </c>
      <c r="G697">
        <v>0</v>
      </c>
      <c r="H697">
        <v>156</v>
      </c>
      <c r="I697">
        <v>1</v>
      </c>
      <c r="J697">
        <v>0</v>
      </c>
      <c r="K697">
        <v>2</v>
      </c>
      <c r="L697">
        <v>0</v>
      </c>
      <c r="M697">
        <v>3</v>
      </c>
      <c r="N697">
        <v>0</v>
      </c>
      <c r="O697" t="str">
        <f t="shared" si="60"/>
        <v>Male</v>
      </c>
      <c r="P697" t="str">
        <f t="shared" si="61"/>
        <v>No Disease</v>
      </c>
      <c r="Q697" t="str">
        <f t="shared" si="62"/>
        <v>Typical Angina</v>
      </c>
      <c r="R697" t="str">
        <f t="shared" si="63"/>
        <v>Normal</v>
      </c>
      <c r="S697" t="str">
        <f t="shared" si="64"/>
        <v>Yes</v>
      </c>
      <c r="T697" t="str" cm="1">
        <f t="array" ref="T697">_xlfn.IFS(A696&lt;30,"18-29",A696&lt;40,"30-39",A696&lt;50,"40-49",A696&lt;60,"50-59",A696&gt;=60,"60+")</f>
        <v>30-39</v>
      </c>
      <c r="U697" t="str">
        <f t="shared" si="65"/>
        <v>Elevated</v>
      </c>
    </row>
    <row r="698" spans="1:21">
      <c r="A698">
        <v>50</v>
      </c>
      <c r="B698">
        <v>0</v>
      </c>
      <c r="C698">
        <v>2</v>
      </c>
      <c r="D698">
        <v>120</v>
      </c>
      <c r="E698">
        <v>219</v>
      </c>
      <c r="F698">
        <v>0</v>
      </c>
      <c r="G698">
        <v>1</v>
      </c>
      <c r="H698">
        <v>158</v>
      </c>
      <c r="I698">
        <v>0</v>
      </c>
      <c r="J698">
        <v>1.6</v>
      </c>
      <c r="K698">
        <v>1</v>
      </c>
      <c r="L698">
        <v>0</v>
      </c>
      <c r="M698">
        <v>2</v>
      </c>
      <c r="N698">
        <v>1</v>
      </c>
      <c r="O698" t="str">
        <f t="shared" si="60"/>
        <v>Female</v>
      </c>
      <c r="P698" t="str">
        <f t="shared" si="61"/>
        <v>Heart Disease</v>
      </c>
      <c r="Q698" t="str">
        <f t="shared" si="62"/>
        <v>Non-Anginal Pain</v>
      </c>
      <c r="R698" t="str">
        <f t="shared" si="63"/>
        <v>Normal</v>
      </c>
      <c r="S698" t="str">
        <f t="shared" si="64"/>
        <v>No</v>
      </c>
      <c r="T698" t="str" cm="1">
        <f t="array" ref="T698">_xlfn.IFS(A697&lt;30,"18-29",A697&lt;40,"30-39",A697&lt;50,"40-49",A697&lt;60,"50-59",A697&gt;=60,"60+")</f>
        <v>30-39</v>
      </c>
      <c r="U698" t="str">
        <f t="shared" si="65"/>
        <v>Elevated</v>
      </c>
    </row>
    <row r="699" spans="1:21">
      <c r="A699">
        <v>67</v>
      </c>
      <c r="B699">
        <v>1</v>
      </c>
      <c r="C699">
        <v>2</v>
      </c>
      <c r="D699">
        <v>152</v>
      </c>
      <c r="E699">
        <v>212</v>
      </c>
      <c r="F699">
        <v>0</v>
      </c>
      <c r="G699">
        <v>0</v>
      </c>
      <c r="H699">
        <v>150</v>
      </c>
      <c r="I699">
        <v>0</v>
      </c>
      <c r="J699">
        <v>0.8</v>
      </c>
      <c r="K699">
        <v>1</v>
      </c>
      <c r="L699">
        <v>0</v>
      </c>
      <c r="M699">
        <v>3</v>
      </c>
      <c r="N699">
        <v>0</v>
      </c>
      <c r="O699" t="str">
        <f t="shared" si="60"/>
        <v>Male</v>
      </c>
      <c r="P699" t="str">
        <f t="shared" si="61"/>
        <v>No Disease</v>
      </c>
      <c r="Q699" t="str">
        <f t="shared" si="62"/>
        <v>Non-Anginal Pain</v>
      </c>
      <c r="R699" t="str">
        <f t="shared" si="63"/>
        <v>Normal</v>
      </c>
      <c r="S699" t="str">
        <f t="shared" si="64"/>
        <v>No</v>
      </c>
      <c r="T699" t="str" cm="1">
        <f t="array" ref="T699">_xlfn.IFS(A698&lt;30,"18-29",A698&lt;40,"30-39",A698&lt;50,"40-49",A698&lt;60,"50-59",A698&gt;=60,"60+")</f>
        <v>50-59</v>
      </c>
      <c r="U699" t="str">
        <f t="shared" si="65"/>
        <v>High (Stage 2)</v>
      </c>
    </row>
    <row r="700" spans="1:21">
      <c r="A700">
        <v>66</v>
      </c>
      <c r="B700">
        <v>1</v>
      </c>
      <c r="C700">
        <v>0</v>
      </c>
      <c r="D700">
        <v>112</v>
      </c>
      <c r="E700">
        <v>212</v>
      </c>
      <c r="F700">
        <v>0</v>
      </c>
      <c r="G700">
        <v>0</v>
      </c>
      <c r="H700">
        <v>132</v>
      </c>
      <c r="I700">
        <v>1</v>
      </c>
      <c r="J700">
        <v>0.1</v>
      </c>
      <c r="K700">
        <v>2</v>
      </c>
      <c r="L700">
        <v>1</v>
      </c>
      <c r="M700">
        <v>2</v>
      </c>
      <c r="N700">
        <v>0</v>
      </c>
      <c r="O700" t="str">
        <f t="shared" si="60"/>
        <v>Male</v>
      </c>
      <c r="P700" t="str">
        <f t="shared" si="61"/>
        <v>No Disease</v>
      </c>
      <c r="Q700" t="str">
        <f t="shared" si="62"/>
        <v>Typical Angina</v>
      </c>
      <c r="R700" t="str">
        <f t="shared" si="63"/>
        <v>Normal</v>
      </c>
      <c r="S700" t="str">
        <f t="shared" si="64"/>
        <v>Yes</v>
      </c>
      <c r="T700" t="str" cm="1">
        <f t="array" ref="T700">_xlfn.IFS(A699&lt;30,"18-29",A699&lt;40,"30-39",A699&lt;50,"40-49",A699&lt;60,"50-59",A699&gt;=60,"60+")</f>
        <v>60+</v>
      </c>
      <c r="U700" t="str">
        <f t="shared" si="65"/>
        <v>Normal</v>
      </c>
    </row>
    <row r="701" spans="1:21">
      <c r="A701">
        <v>35</v>
      </c>
      <c r="B701">
        <v>1</v>
      </c>
      <c r="C701">
        <v>0</v>
      </c>
      <c r="D701">
        <v>126</v>
      </c>
      <c r="E701">
        <v>282</v>
      </c>
      <c r="F701">
        <v>0</v>
      </c>
      <c r="G701">
        <v>0</v>
      </c>
      <c r="H701">
        <v>156</v>
      </c>
      <c r="I701">
        <v>1</v>
      </c>
      <c r="J701">
        <v>0</v>
      </c>
      <c r="K701">
        <v>2</v>
      </c>
      <c r="L701">
        <v>0</v>
      </c>
      <c r="M701">
        <v>3</v>
      </c>
      <c r="N701">
        <v>0</v>
      </c>
      <c r="O701" t="str">
        <f t="shared" si="60"/>
        <v>Male</v>
      </c>
      <c r="P701" t="str">
        <f t="shared" si="61"/>
        <v>No Disease</v>
      </c>
      <c r="Q701" t="str">
        <f t="shared" si="62"/>
        <v>Typical Angina</v>
      </c>
      <c r="R701" t="str">
        <f t="shared" si="63"/>
        <v>Normal</v>
      </c>
      <c r="S701" t="str">
        <f t="shared" si="64"/>
        <v>Yes</v>
      </c>
      <c r="T701" t="str" cm="1">
        <f t="array" ref="T701">_xlfn.IFS(A700&lt;30,"18-29",A700&lt;40,"30-39",A700&lt;50,"40-49",A700&lt;60,"50-59",A700&gt;=60,"60+")</f>
        <v>60+</v>
      </c>
      <c r="U701" t="str">
        <f t="shared" si="65"/>
        <v>Elevated</v>
      </c>
    </row>
    <row r="702" spans="1:21">
      <c r="A702">
        <v>41</v>
      </c>
      <c r="B702">
        <v>1</v>
      </c>
      <c r="C702">
        <v>2</v>
      </c>
      <c r="D702">
        <v>130</v>
      </c>
      <c r="E702">
        <v>214</v>
      </c>
      <c r="F702">
        <v>0</v>
      </c>
      <c r="G702">
        <v>0</v>
      </c>
      <c r="H702">
        <v>168</v>
      </c>
      <c r="I702">
        <v>0</v>
      </c>
      <c r="J702">
        <v>2</v>
      </c>
      <c r="K702">
        <v>1</v>
      </c>
      <c r="L702">
        <v>0</v>
      </c>
      <c r="M702">
        <v>2</v>
      </c>
      <c r="N702">
        <v>1</v>
      </c>
      <c r="O702" t="str">
        <f t="shared" si="60"/>
        <v>Male</v>
      </c>
      <c r="P702" t="str">
        <f t="shared" si="61"/>
        <v>Heart Disease</v>
      </c>
      <c r="Q702" t="str">
        <f t="shared" si="62"/>
        <v>Non-Anginal Pain</v>
      </c>
      <c r="R702" t="str">
        <f t="shared" si="63"/>
        <v>Normal</v>
      </c>
      <c r="S702" t="str">
        <f t="shared" si="64"/>
        <v>No</v>
      </c>
      <c r="T702" t="str" cm="1">
        <f t="array" ref="T702">_xlfn.IFS(A701&lt;30,"18-29",A701&lt;40,"30-39",A701&lt;50,"40-49",A701&lt;60,"50-59",A701&gt;=60,"60+")</f>
        <v>30-39</v>
      </c>
      <c r="U702" t="str">
        <f t="shared" si="65"/>
        <v>High (Stage 1)</v>
      </c>
    </row>
    <row r="703" spans="1:21">
      <c r="A703">
        <v>35</v>
      </c>
      <c r="B703">
        <v>1</v>
      </c>
      <c r="C703">
        <v>0</v>
      </c>
      <c r="D703">
        <v>120</v>
      </c>
      <c r="E703">
        <v>198</v>
      </c>
      <c r="F703">
        <v>0</v>
      </c>
      <c r="G703">
        <v>1</v>
      </c>
      <c r="H703">
        <v>130</v>
      </c>
      <c r="I703">
        <v>1</v>
      </c>
      <c r="J703">
        <v>1.6</v>
      </c>
      <c r="K703">
        <v>1</v>
      </c>
      <c r="L703">
        <v>0</v>
      </c>
      <c r="M703">
        <v>3</v>
      </c>
      <c r="N703">
        <v>0</v>
      </c>
      <c r="O703" t="str">
        <f t="shared" si="60"/>
        <v>Male</v>
      </c>
      <c r="P703" t="str">
        <f t="shared" si="61"/>
        <v>No Disease</v>
      </c>
      <c r="Q703" t="str">
        <f t="shared" si="62"/>
        <v>Typical Angina</v>
      </c>
      <c r="R703" t="str">
        <f t="shared" si="63"/>
        <v>Normal</v>
      </c>
      <c r="S703" t="str">
        <f t="shared" si="64"/>
        <v>Yes</v>
      </c>
      <c r="T703" t="str" cm="1">
        <f t="array" ref="T703">_xlfn.IFS(A702&lt;30,"18-29",A702&lt;40,"30-39",A702&lt;50,"40-49",A702&lt;60,"50-59",A702&gt;=60,"60+")</f>
        <v>40-49</v>
      </c>
      <c r="U703" t="str">
        <f t="shared" si="65"/>
        <v>Elevated</v>
      </c>
    </row>
    <row r="704" spans="1:21">
      <c r="A704">
        <v>71</v>
      </c>
      <c r="B704">
        <v>0</v>
      </c>
      <c r="C704">
        <v>1</v>
      </c>
      <c r="D704">
        <v>160</v>
      </c>
      <c r="E704">
        <v>302</v>
      </c>
      <c r="F704">
        <v>0</v>
      </c>
      <c r="G704">
        <v>1</v>
      </c>
      <c r="H704">
        <v>162</v>
      </c>
      <c r="I704">
        <v>0</v>
      </c>
      <c r="J704">
        <v>0.4</v>
      </c>
      <c r="K704">
        <v>2</v>
      </c>
      <c r="L704">
        <v>2</v>
      </c>
      <c r="M704">
        <v>2</v>
      </c>
      <c r="N704">
        <v>1</v>
      </c>
      <c r="O704" t="str">
        <f t="shared" si="60"/>
        <v>Female</v>
      </c>
      <c r="P704" t="str">
        <f t="shared" si="61"/>
        <v>Heart Disease</v>
      </c>
      <c r="Q704" t="str">
        <f t="shared" si="62"/>
        <v>Atypical Angina</v>
      </c>
      <c r="R704" t="str">
        <f t="shared" si="63"/>
        <v>Normal</v>
      </c>
      <c r="S704" t="str">
        <f t="shared" si="64"/>
        <v>No</v>
      </c>
      <c r="T704" t="str" cm="1">
        <f t="array" ref="T704">_xlfn.IFS(A703&lt;30,"18-29",A703&lt;40,"30-39",A703&lt;50,"40-49",A703&lt;60,"50-59",A703&gt;=60,"60+")</f>
        <v>30-39</v>
      </c>
      <c r="U704" t="str">
        <f t="shared" si="65"/>
        <v>High (Stage 2)</v>
      </c>
    </row>
    <row r="705" spans="1:21">
      <c r="A705">
        <v>57</v>
      </c>
      <c r="B705">
        <v>1</v>
      </c>
      <c r="C705">
        <v>0</v>
      </c>
      <c r="D705">
        <v>110</v>
      </c>
      <c r="E705">
        <v>201</v>
      </c>
      <c r="F705">
        <v>0</v>
      </c>
      <c r="G705">
        <v>1</v>
      </c>
      <c r="H705">
        <v>126</v>
      </c>
      <c r="I705">
        <v>1</v>
      </c>
      <c r="J705">
        <v>1.5</v>
      </c>
      <c r="K705">
        <v>1</v>
      </c>
      <c r="L705">
        <v>0</v>
      </c>
      <c r="M705">
        <v>1</v>
      </c>
      <c r="N705">
        <v>1</v>
      </c>
      <c r="O705" t="str">
        <f t="shared" si="60"/>
        <v>Male</v>
      </c>
      <c r="P705" t="str">
        <f t="shared" si="61"/>
        <v>Heart Disease</v>
      </c>
      <c r="Q705" t="str">
        <f t="shared" si="62"/>
        <v>Typical Angina</v>
      </c>
      <c r="R705" t="str">
        <f t="shared" si="63"/>
        <v>Normal</v>
      </c>
      <c r="S705" t="str">
        <f t="shared" si="64"/>
        <v>Yes</v>
      </c>
      <c r="T705" t="str" cm="1">
        <f t="array" ref="T705">_xlfn.IFS(A704&lt;30,"18-29",A704&lt;40,"30-39",A704&lt;50,"40-49",A704&lt;60,"50-59",A704&gt;=60,"60+")</f>
        <v>60+</v>
      </c>
      <c r="U705" t="str">
        <f t="shared" si="65"/>
        <v>Normal</v>
      </c>
    </row>
    <row r="706" spans="1:21">
      <c r="A706">
        <v>51</v>
      </c>
      <c r="B706">
        <v>1</v>
      </c>
      <c r="C706">
        <v>2</v>
      </c>
      <c r="D706">
        <v>94</v>
      </c>
      <c r="E706">
        <v>227</v>
      </c>
      <c r="F706">
        <v>0</v>
      </c>
      <c r="G706">
        <v>1</v>
      </c>
      <c r="H706">
        <v>154</v>
      </c>
      <c r="I706">
        <v>1</v>
      </c>
      <c r="J706">
        <v>0</v>
      </c>
      <c r="K706">
        <v>2</v>
      </c>
      <c r="L706">
        <v>1</v>
      </c>
      <c r="M706">
        <v>3</v>
      </c>
      <c r="N706">
        <v>1</v>
      </c>
      <c r="O706" t="str">
        <f t="shared" ref="O706:O769" si="66">IF(B706=1,"Male","Female")</f>
        <v>Male</v>
      </c>
      <c r="P706" t="str">
        <f t="shared" ref="P706:P769" si="67">IF(N706=1,"Heart Disease","No Disease")</f>
        <v>Heart Disease</v>
      </c>
      <c r="Q706" t="str">
        <f t="shared" ref="Q706:Q769" si="68">IF(C706=0,"Typical Angina",IF(C706=1,"Atypical Angina",IF(C706=2,"Non-Anginal Pain","Asymptomatic")))</f>
        <v>Non-Anginal Pain</v>
      </c>
      <c r="R706" t="str">
        <f t="shared" ref="R706:R769" si="69">IF(F706=1,"High","Normal")</f>
        <v>Normal</v>
      </c>
      <c r="S706" t="str">
        <f t="shared" ref="S706:S769" si="70">IF(I706=1,"Yes","No")</f>
        <v>Yes</v>
      </c>
      <c r="T706" t="str" cm="1">
        <f t="array" ref="T706">_xlfn.IFS(A705&lt;30,"18-29",A705&lt;40,"30-39",A705&lt;50,"40-49",A705&lt;60,"50-59",A705&gt;=60,"60+")</f>
        <v>50-59</v>
      </c>
      <c r="U706" t="str">
        <f t="shared" ref="U706:U769" si="71">IF(D706&lt;120,"Normal",IF(D706&lt;130,"Elevated",IF(D706&lt;140,"High (Stage 1)","High (Stage 2)")))</f>
        <v>Normal</v>
      </c>
    </row>
    <row r="707" spans="1:21">
      <c r="A707">
        <v>58</v>
      </c>
      <c r="B707">
        <v>1</v>
      </c>
      <c r="C707">
        <v>0</v>
      </c>
      <c r="D707">
        <v>128</v>
      </c>
      <c r="E707">
        <v>216</v>
      </c>
      <c r="F707">
        <v>0</v>
      </c>
      <c r="G707">
        <v>0</v>
      </c>
      <c r="H707">
        <v>131</v>
      </c>
      <c r="I707">
        <v>1</v>
      </c>
      <c r="J707">
        <v>2.2000000000000002</v>
      </c>
      <c r="K707">
        <v>1</v>
      </c>
      <c r="L707">
        <v>3</v>
      </c>
      <c r="M707">
        <v>3</v>
      </c>
      <c r="N707">
        <v>0</v>
      </c>
      <c r="O707" t="str">
        <f t="shared" si="66"/>
        <v>Male</v>
      </c>
      <c r="P707" t="str">
        <f t="shared" si="67"/>
        <v>No Disease</v>
      </c>
      <c r="Q707" t="str">
        <f t="shared" si="68"/>
        <v>Typical Angina</v>
      </c>
      <c r="R707" t="str">
        <f t="shared" si="69"/>
        <v>Normal</v>
      </c>
      <c r="S707" t="str">
        <f t="shared" si="70"/>
        <v>Yes</v>
      </c>
      <c r="T707" t="str" cm="1">
        <f t="array" ref="T707">_xlfn.IFS(A706&lt;30,"18-29",A706&lt;40,"30-39",A706&lt;50,"40-49",A706&lt;60,"50-59",A706&gt;=60,"60+")</f>
        <v>50-59</v>
      </c>
      <c r="U707" t="str">
        <f t="shared" si="71"/>
        <v>Elevated</v>
      </c>
    </row>
    <row r="708" spans="1:21">
      <c r="A708">
        <v>57</v>
      </c>
      <c r="B708">
        <v>1</v>
      </c>
      <c r="C708">
        <v>2</v>
      </c>
      <c r="D708">
        <v>128</v>
      </c>
      <c r="E708">
        <v>229</v>
      </c>
      <c r="F708">
        <v>0</v>
      </c>
      <c r="G708">
        <v>0</v>
      </c>
      <c r="H708">
        <v>150</v>
      </c>
      <c r="I708">
        <v>0</v>
      </c>
      <c r="J708">
        <v>0.4</v>
      </c>
      <c r="K708">
        <v>1</v>
      </c>
      <c r="L708">
        <v>1</v>
      </c>
      <c r="M708">
        <v>3</v>
      </c>
      <c r="N708">
        <v>0</v>
      </c>
      <c r="O708" t="str">
        <f t="shared" si="66"/>
        <v>Male</v>
      </c>
      <c r="P708" t="str">
        <f t="shared" si="67"/>
        <v>No Disease</v>
      </c>
      <c r="Q708" t="str">
        <f t="shared" si="68"/>
        <v>Non-Anginal Pain</v>
      </c>
      <c r="R708" t="str">
        <f t="shared" si="69"/>
        <v>Normal</v>
      </c>
      <c r="S708" t="str">
        <f t="shared" si="70"/>
        <v>No</v>
      </c>
      <c r="T708" t="str" cm="1">
        <f t="array" ref="T708">_xlfn.IFS(A707&lt;30,"18-29",A707&lt;40,"30-39",A707&lt;50,"40-49",A707&lt;60,"50-59",A707&gt;=60,"60+")</f>
        <v>50-59</v>
      </c>
      <c r="U708" t="str">
        <f t="shared" si="71"/>
        <v>Elevated</v>
      </c>
    </row>
    <row r="709" spans="1:21">
      <c r="A709">
        <v>56</v>
      </c>
      <c r="B709">
        <v>0</v>
      </c>
      <c r="C709">
        <v>1</v>
      </c>
      <c r="D709">
        <v>140</v>
      </c>
      <c r="E709">
        <v>294</v>
      </c>
      <c r="F709">
        <v>0</v>
      </c>
      <c r="G709">
        <v>0</v>
      </c>
      <c r="H709">
        <v>153</v>
      </c>
      <c r="I709">
        <v>0</v>
      </c>
      <c r="J709">
        <v>1.3</v>
      </c>
      <c r="K709">
        <v>1</v>
      </c>
      <c r="L709">
        <v>0</v>
      </c>
      <c r="M709">
        <v>2</v>
      </c>
      <c r="N709">
        <v>1</v>
      </c>
      <c r="O709" t="str">
        <f t="shared" si="66"/>
        <v>Female</v>
      </c>
      <c r="P709" t="str">
        <f t="shared" si="67"/>
        <v>Heart Disease</v>
      </c>
      <c r="Q709" t="str">
        <f t="shared" si="68"/>
        <v>Atypical Angina</v>
      </c>
      <c r="R709" t="str">
        <f t="shared" si="69"/>
        <v>Normal</v>
      </c>
      <c r="S709" t="str">
        <f t="shared" si="70"/>
        <v>No</v>
      </c>
      <c r="T709" t="str" cm="1">
        <f t="array" ref="T709">_xlfn.IFS(A708&lt;30,"18-29",A708&lt;40,"30-39",A708&lt;50,"40-49",A708&lt;60,"50-59",A708&gt;=60,"60+")</f>
        <v>50-59</v>
      </c>
      <c r="U709" t="str">
        <f t="shared" si="71"/>
        <v>High (Stage 2)</v>
      </c>
    </row>
    <row r="710" spans="1:21">
      <c r="A710">
        <v>60</v>
      </c>
      <c r="B710">
        <v>0</v>
      </c>
      <c r="C710">
        <v>2</v>
      </c>
      <c r="D710">
        <v>120</v>
      </c>
      <c r="E710">
        <v>178</v>
      </c>
      <c r="F710">
        <v>1</v>
      </c>
      <c r="G710">
        <v>1</v>
      </c>
      <c r="H710">
        <v>96</v>
      </c>
      <c r="I710">
        <v>0</v>
      </c>
      <c r="J710">
        <v>0</v>
      </c>
      <c r="K710">
        <v>2</v>
      </c>
      <c r="L710">
        <v>0</v>
      </c>
      <c r="M710">
        <v>2</v>
      </c>
      <c r="N710">
        <v>1</v>
      </c>
      <c r="O710" t="str">
        <f t="shared" si="66"/>
        <v>Female</v>
      </c>
      <c r="P710" t="str">
        <f t="shared" si="67"/>
        <v>Heart Disease</v>
      </c>
      <c r="Q710" t="str">
        <f t="shared" si="68"/>
        <v>Non-Anginal Pain</v>
      </c>
      <c r="R710" t="str">
        <f t="shared" si="69"/>
        <v>High</v>
      </c>
      <c r="S710" t="str">
        <f t="shared" si="70"/>
        <v>No</v>
      </c>
      <c r="T710" t="str" cm="1">
        <f t="array" ref="T710">_xlfn.IFS(A709&lt;30,"18-29",A709&lt;40,"30-39",A709&lt;50,"40-49",A709&lt;60,"50-59",A709&gt;=60,"60+")</f>
        <v>50-59</v>
      </c>
      <c r="U710" t="str">
        <f t="shared" si="71"/>
        <v>Elevated</v>
      </c>
    </row>
    <row r="711" spans="1:21">
      <c r="A711">
        <v>45</v>
      </c>
      <c r="B711">
        <v>1</v>
      </c>
      <c r="C711">
        <v>3</v>
      </c>
      <c r="D711">
        <v>110</v>
      </c>
      <c r="E711">
        <v>264</v>
      </c>
      <c r="F711">
        <v>0</v>
      </c>
      <c r="G711">
        <v>1</v>
      </c>
      <c r="H711">
        <v>132</v>
      </c>
      <c r="I711">
        <v>0</v>
      </c>
      <c r="J711">
        <v>1.2</v>
      </c>
      <c r="K711">
        <v>1</v>
      </c>
      <c r="L711">
        <v>0</v>
      </c>
      <c r="M711">
        <v>3</v>
      </c>
      <c r="N711">
        <v>0</v>
      </c>
      <c r="O711" t="str">
        <f t="shared" si="66"/>
        <v>Male</v>
      </c>
      <c r="P711" t="str">
        <f t="shared" si="67"/>
        <v>No Disease</v>
      </c>
      <c r="Q711" t="str">
        <f t="shared" si="68"/>
        <v>Asymptomatic</v>
      </c>
      <c r="R711" t="str">
        <f t="shared" si="69"/>
        <v>Normal</v>
      </c>
      <c r="S711" t="str">
        <f t="shared" si="70"/>
        <v>No</v>
      </c>
      <c r="T711" t="str" cm="1">
        <f t="array" ref="T711">_xlfn.IFS(A710&lt;30,"18-29",A710&lt;40,"30-39",A710&lt;50,"40-49",A710&lt;60,"50-59",A710&gt;=60,"60+")</f>
        <v>60+</v>
      </c>
      <c r="U711" t="str">
        <f t="shared" si="71"/>
        <v>Normal</v>
      </c>
    </row>
    <row r="712" spans="1:21">
      <c r="A712">
        <v>56</v>
      </c>
      <c r="B712">
        <v>1</v>
      </c>
      <c r="C712">
        <v>1</v>
      </c>
      <c r="D712">
        <v>130</v>
      </c>
      <c r="E712">
        <v>221</v>
      </c>
      <c r="F712">
        <v>0</v>
      </c>
      <c r="G712">
        <v>0</v>
      </c>
      <c r="H712">
        <v>163</v>
      </c>
      <c r="I712">
        <v>0</v>
      </c>
      <c r="J712">
        <v>0</v>
      </c>
      <c r="K712">
        <v>2</v>
      </c>
      <c r="L712">
        <v>0</v>
      </c>
      <c r="M712">
        <v>3</v>
      </c>
      <c r="N712">
        <v>1</v>
      </c>
      <c r="O712" t="str">
        <f t="shared" si="66"/>
        <v>Male</v>
      </c>
      <c r="P712" t="str">
        <f t="shared" si="67"/>
        <v>Heart Disease</v>
      </c>
      <c r="Q712" t="str">
        <f t="shared" si="68"/>
        <v>Atypical Angina</v>
      </c>
      <c r="R712" t="str">
        <f t="shared" si="69"/>
        <v>Normal</v>
      </c>
      <c r="S712" t="str">
        <f t="shared" si="70"/>
        <v>No</v>
      </c>
      <c r="T712" t="str" cm="1">
        <f t="array" ref="T712">_xlfn.IFS(A711&lt;30,"18-29",A711&lt;40,"30-39",A711&lt;50,"40-49",A711&lt;60,"50-59",A711&gt;=60,"60+")</f>
        <v>40-49</v>
      </c>
      <c r="U712" t="str">
        <f t="shared" si="71"/>
        <v>High (Stage 1)</v>
      </c>
    </row>
    <row r="713" spans="1:21">
      <c r="A713">
        <v>35</v>
      </c>
      <c r="B713">
        <v>1</v>
      </c>
      <c r="C713">
        <v>0</v>
      </c>
      <c r="D713">
        <v>120</v>
      </c>
      <c r="E713">
        <v>198</v>
      </c>
      <c r="F713">
        <v>0</v>
      </c>
      <c r="G713">
        <v>1</v>
      </c>
      <c r="H713">
        <v>130</v>
      </c>
      <c r="I713">
        <v>1</v>
      </c>
      <c r="J713">
        <v>1.6</v>
      </c>
      <c r="K713">
        <v>1</v>
      </c>
      <c r="L713">
        <v>0</v>
      </c>
      <c r="M713">
        <v>3</v>
      </c>
      <c r="N713">
        <v>0</v>
      </c>
      <c r="O713" t="str">
        <f t="shared" si="66"/>
        <v>Male</v>
      </c>
      <c r="P713" t="str">
        <f t="shared" si="67"/>
        <v>No Disease</v>
      </c>
      <c r="Q713" t="str">
        <f t="shared" si="68"/>
        <v>Typical Angina</v>
      </c>
      <c r="R713" t="str">
        <f t="shared" si="69"/>
        <v>Normal</v>
      </c>
      <c r="S713" t="str">
        <f t="shared" si="70"/>
        <v>Yes</v>
      </c>
      <c r="T713" t="str" cm="1">
        <f t="array" ref="T713">_xlfn.IFS(A712&lt;30,"18-29",A712&lt;40,"30-39",A712&lt;50,"40-49",A712&lt;60,"50-59",A712&gt;=60,"60+")</f>
        <v>50-59</v>
      </c>
      <c r="U713" t="str">
        <f t="shared" si="71"/>
        <v>Elevated</v>
      </c>
    </row>
    <row r="714" spans="1:21">
      <c r="A714">
        <v>45</v>
      </c>
      <c r="B714">
        <v>0</v>
      </c>
      <c r="C714">
        <v>1</v>
      </c>
      <c r="D714">
        <v>112</v>
      </c>
      <c r="E714">
        <v>160</v>
      </c>
      <c r="F714">
        <v>0</v>
      </c>
      <c r="G714">
        <v>1</v>
      </c>
      <c r="H714">
        <v>138</v>
      </c>
      <c r="I714">
        <v>0</v>
      </c>
      <c r="J714">
        <v>0</v>
      </c>
      <c r="K714">
        <v>1</v>
      </c>
      <c r="L714">
        <v>0</v>
      </c>
      <c r="M714">
        <v>2</v>
      </c>
      <c r="N714">
        <v>1</v>
      </c>
      <c r="O714" t="str">
        <f t="shared" si="66"/>
        <v>Female</v>
      </c>
      <c r="P714" t="str">
        <f t="shared" si="67"/>
        <v>Heart Disease</v>
      </c>
      <c r="Q714" t="str">
        <f t="shared" si="68"/>
        <v>Atypical Angina</v>
      </c>
      <c r="R714" t="str">
        <f t="shared" si="69"/>
        <v>Normal</v>
      </c>
      <c r="S714" t="str">
        <f t="shared" si="70"/>
        <v>No</v>
      </c>
      <c r="T714" t="str" cm="1">
        <f t="array" ref="T714">_xlfn.IFS(A713&lt;30,"18-29",A713&lt;40,"30-39",A713&lt;50,"40-49",A713&lt;60,"50-59",A713&gt;=60,"60+")</f>
        <v>30-39</v>
      </c>
      <c r="U714" t="str">
        <f t="shared" si="71"/>
        <v>Normal</v>
      </c>
    </row>
    <row r="715" spans="1:21">
      <c r="A715">
        <v>66</v>
      </c>
      <c r="B715">
        <v>0</v>
      </c>
      <c r="C715">
        <v>3</v>
      </c>
      <c r="D715">
        <v>150</v>
      </c>
      <c r="E715">
        <v>226</v>
      </c>
      <c r="F715">
        <v>0</v>
      </c>
      <c r="G715">
        <v>1</v>
      </c>
      <c r="H715">
        <v>114</v>
      </c>
      <c r="I715">
        <v>0</v>
      </c>
      <c r="J715">
        <v>2.6</v>
      </c>
      <c r="K715">
        <v>0</v>
      </c>
      <c r="L715">
        <v>0</v>
      </c>
      <c r="M715">
        <v>2</v>
      </c>
      <c r="N715">
        <v>1</v>
      </c>
      <c r="O715" t="str">
        <f t="shared" si="66"/>
        <v>Female</v>
      </c>
      <c r="P715" t="str">
        <f t="shared" si="67"/>
        <v>Heart Disease</v>
      </c>
      <c r="Q715" t="str">
        <f t="shared" si="68"/>
        <v>Asymptomatic</v>
      </c>
      <c r="R715" t="str">
        <f t="shared" si="69"/>
        <v>Normal</v>
      </c>
      <c r="S715" t="str">
        <f t="shared" si="70"/>
        <v>No</v>
      </c>
      <c r="T715" t="str" cm="1">
        <f t="array" ref="T715">_xlfn.IFS(A714&lt;30,"18-29",A714&lt;40,"30-39",A714&lt;50,"40-49",A714&lt;60,"50-59",A714&gt;=60,"60+")</f>
        <v>40-49</v>
      </c>
      <c r="U715" t="str">
        <f t="shared" si="71"/>
        <v>High (Stage 2)</v>
      </c>
    </row>
    <row r="716" spans="1:21">
      <c r="A716">
        <v>51</v>
      </c>
      <c r="B716">
        <v>1</v>
      </c>
      <c r="C716">
        <v>3</v>
      </c>
      <c r="D716">
        <v>125</v>
      </c>
      <c r="E716">
        <v>213</v>
      </c>
      <c r="F716">
        <v>0</v>
      </c>
      <c r="G716">
        <v>0</v>
      </c>
      <c r="H716">
        <v>125</v>
      </c>
      <c r="I716">
        <v>1</v>
      </c>
      <c r="J716">
        <v>1.4</v>
      </c>
      <c r="K716">
        <v>2</v>
      </c>
      <c r="L716">
        <v>1</v>
      </c>
      <c r="M716">
        <v>2</v>
      </c>
      <c r="N716">
        <v>1</v>
      </c>
      <c r="O716" t="str">
        <f t="shared" si="66"/>
        <v>Male</v>
      </c>
      <c r="P716" t="str">
        <f t="shared" si="67"/>
        <v>Heart Disease</v>
      </c>
      <c r="Q716" t="str">
        <f t="shared" si="68"/>
        <v>Asymptomatic</v>
      </c>
      <c r="R716" t="str">
        <f t="shared" si="69"/>
        <v>Normal</v>
      </c>
      <c r="S716" t="str">
        <f t="shared" si="70"/>
        <v>Yes</v>
      </c>
      <c r="T716" t="str" cm="1">
        <f t="array" ref="T716">_xlfn.IFS(A715&lt;30,"18-29",A715&lt;40,"30-39",A715&lt;50,"40-49",A715&lt;60,"50-59",A715&gt;=60,"60+")</f>
        <v>60+</v>
      </c>
      <c r="U716" t="str">
        <f t="shared" si="71"/>
        <v>Elevated</v>
      </c>
    </row>
    <row r="717" spans="1:21">
      <c r="A717">
        <v>70</v>
      </c>
      <c r="B717">
        <v>1</v>
      </c>
      <c r="C717">
        <v>1</v>
      </c>
      <c r="D717">
        <v>156</v>
      </c>
      <c r="E717">
        <v>245</v>
      </c>
      <c r="F717">
        <v>0</v>
      </c>
      <c r="G717">
        <v>0</v>
      </c>
      <c r="H717">
        <v>143</v>
      </c>
      <c r="I717">
        <v>0</v>
      </c>
      <c r="J717">
        <v>0</v>
      </c>
      <c r="K717">
        <v>2</v>
      </c>
      <c r="L717">
        <v>0</v>
      </c>
      <c r="M717">
        <v>2</v>
      </c>
      <c r="N717">
        <v>1</v>
      </c>
      <c r="O717" t="str">
        <f t="shared" si="66"/>
        <v>Male</v>
      </c>
      <c r="P717" t="str">
        <f t="shared" si="67"/>
        <v>Heart Disease</v>
      </c>
      <c r="Q717" t="str">
        <f t="shared" si="68"/>
        <v>Atypical Angina</v>
      </c>
      <c r="R717" t="str">
        <f t="shared" si="69"/>
        <v>Normal</v>
      </c>
      <c r="S717" t="str">
        <f t="shared" si="70"/>
        <v>No</v>
      </c>
      <c r="T717" t="str" cm="1">
        <f t="array" ref="T717">_xlfn.IFS(A716&lt;30,"18-29",A716&lt;40,"30-39",A716&lt;50,"40-49",A716&lt;60,"50-59",A716&gt;=60,"60+")</f>
        <v>50-59</v>
      </c>
      <c r="U717" t="str">
        <f t="shared" si="71"/>
        <v>High (Stage 2)</v>
      </c>
    </row>
    <row r="718" spans="1:21">
      <c r="A718">
        <v>55</v>
      </c>
      <c r="B718">
        <v>0</v>
      </c>
      <c r="C718">
        <v>0</v>
      </c>
      <c r="D718">
        <v>128</v>
      </c>
      <c r="E718">
        <v>205</v>
      </c>
      <c r="F718">
        <v>0</v>
      </c>
      <c r="G718">
        <v>2</v>
      </c>
      <c r="H718">
        <v>130</v>
      </c>
      <c r="I718">
        <v>1</v>
      </c>
      <c r="J718">
        <v>2</v>
      </c>
      <c r="K718">
        <v>1</v>
      </c>
      <c r="L718">
        <v>1</v>
      </c>
      <c r="M718">
        <v>3</v>
      </c>
      <c r="N718">
        <v>0</v>
      </c>
      <c r="O718" t="str">
        <f t="shared" si="66"/>
        <v>Female</v>
      </c>
      <c r="P718" t="str">
        <f t="shared" si="67"/>
        <v>No Disease</v>
      </c>
      <c r="Q718" t="str">
        <f t="shared" si="68"/>
        <v>Typical Angina</v>
      </c>
      <c r="R718" t="str">
        <f t="shared" si="69"/>
        <v>Normal</v>
      </c>
      <c r="S718" t="str">
        <f t="shared" si="70"/>
        <v>Yes</v>
      </c>
      <c r="T718" t="str" cm="1">
        <f t="array" ref="T718">_xlfn.IFS(A717&lt;30,"18-29",A717&lt;40,"30-39",A717&lt;50,"40-49",A717&lt;60,"50-59",A717&gt;=60,"60+")</f>
        <v>60+</v>
      </c>
      <c r="U718" t="str">
        <f t="shared" si="71"/>
        <v>Elevated</v>
      </c>
    </row>
    <row r="719" spans="1:21">
      <c r="A719">
        <v>56</v>
      </c>
      <c r="B719">
        <v>1</v>
      </c>
      <c r="C719">
        <v>2</v>
      </c>
      <c r="D719">
        <v>130</v>
      </c>
      <c r="E719">
        <v>256</v>
      </c>
      <c r="F719">
        <v>1</v>
      </c>
      <c r="G719">
        <v>0</v>
      </c>
      <c r="H719">
        <v>142</v>
      </c>
      <c r="I719">
        <v>1</v>
      </c>
      <c r="J719">
        <v>0.6</v>
      </c>
      <c r="K719">
        <v>1</v>
      </c>
      <c r="L719">
        <v>1</v>
      </c>
      <c r="M719">
        <v>1</v>
      </c>
      <c r="N719">
        <v>0</v>
      </c>
      <c r="O719" t="str">
        <f t="shared" si="66"/>
        <v>Male</v>
      </c>
      <c r="P719" t="str">
        <f t="shared" si="67"/>
        <v>No Disease</v>
      </c>
      <c r="Q719" t="str">
        <f t="shared" si="68"/>
        <v>Non-Anginal Pain</v>
      </c>
      <c r="R719" t="str">
        <f t="shared" si="69"/>
        <v>High</v>
      </c>
      <c r="S719" t="str">
        <f t="shared" si="70"/>
        <v>Yes</v>
      </c>
      <c r="T719" t="str" cm="1">
        <f t="array" ref="T719">_xlfn.IFS(A718&lt;30,"18-29",A718&lt;40,"30-39",A718&lt;50,"40-49",A718&lt;60,"50-59",A718&gt;=60,"60+")</f>
        <v>50-59</v>
      </c>
      <c r="U719" t="str">
        <f t="shared" si="71"/>
        <v>High (Stage 1)</v>
      </c>
    </row>
    <row r="720" spans="1:21">
      <c r="A720">
        <v>55</v>
      </c>
      <c r="B720">
        <v>0</v>
      </c>
      <c r="C720">
        <v>1</v>
      </c>
      <c r="D720">
        <v>135</v>
      </c>
      <c r="E720">
        <v>250</v>
      </c>
      <c r="F720">
        <v>0</v>
      </c>
      <c r="G720">
        <v>0</v>
      </c>
      <c r="H720">
        <v>161</v>
      </c>
      <c r="I720">
        <v>0</v>
      </c>
      <c r="J720">
        <v>1.4</v>
      </c>
      <c r="K720">
        <v>1</v>
      </c>
      <c r="L720">
        <v>0</v>
      </c>
      <c r="M720">
        <v>2</v>
      </c>
      <c r="N720">
        <v>1</v>
      </c>
      <c r="O720" t="str">
        <f t="shared" si="66"/>
        <v>Female</v>
      </c>
      <c r="P720" t="str">
        <f t="shared" si="67"/>
        <v>Heart Disease</v>
      </c>
      <c r="Q720" t="str">
        <f t="shared" si="68"/>
        <v>Atypical Angina</v>
      </c>
      <c r="R720" t="str">
        <f t="shared" si="69"/>
        <v>Normal</v>
      </c>
      <c r="S720" t="str">
        <f t="shared" si="70"/>
        <v>No</v>
      </c>
      <c r="T720" t="str" cm="1">
        <f t="array" ref="T720">_xlfn.IFS(A719&lt;30,"18-29",A719&lt;40,"30-39",A719&lt;50,"40-49",A719&lt;60,"50-59",A719&gt;=60,"60+")</f>
        <v>50-59</v>
      </c>
      <c r="U720" t="str">
        <f t="shared" si="71"/>
        <v>High (Stage 1)</v>
      </c>
    </row>
    <row r="721" spans="1:21">
      <c r="A721">
        <v>52</v>
      </c>
      <c r="B721">
        <v>1</v>
      </c>
      <c r="C721">
        <v>0</v>
      </c>
      <c r="D721">
        <v>108</v>
      </c>
      <c r="E721">
        <v>233</v>
      </c>
      <c r="F721">
        <v>1</v>
      </c>
      <c r="G721">
        <v>1</v>
      </c>
      <c r="H721">
        <v>147</v>
      </c>
      <c r="I721">
        <v>0</v>
      </c>
      <c r="J721">
        <v>0.1</v>
      </c>
      <c r="K721">
        <v>2</v>
      </c>
      <c r="L721">
        <v>3</v>
      </c>
      <c r="M721">
        <v>3</v>
      </c>
      <c r="N721">
        <v>1</v>
      </c>
      <c r="O721" t="str">
        <f t="shared" si="66"/>
        <v>Male</v>
      </c>
      <c r="P721" t="str">
        <f t="shared" si="67"/>
        <v>Heart Disease</v>
      </c>
      <c r="Q721" t="str">
        <f t="shared" si="68"/>
        <v>Typical Angina</v>
      </c>
      <c r="R721" t="str">
        <f t="shared" si="69"/>
        <v>High</v>
      </c>
      <c r="S721" t="str">
        <f t="shared" si="70"/>
        <v>No</v>
      </c>
      <c r="T721" t="str" cm="1">
        <f t="array" ref="T721">_xlfn.IFS(A720&lt;30,"18-29",A720&lt;40,"30-39",A720&lt;50,"40-49",A720&lt;60,"50-59",A720&gt;=60,"60+")</f>
        <v>50-59</v>
      </c>
      <c r="U721" t="str">
        <f t="shared" si="71"/>
        <v>Normal</v>
      </c>
    </row>
    <row r="722" spans="1:21">
      <c r="A722">
        <v>64</v>
      </c>
      <c r="B722">
        <v>1</v>
      </c>
      <c r="C722">
        <v>2</v>
      </c>
      <c r="D722">
        <v>140</v>
      </c>
      <c r="E722">
        <v>335</v>
      </c>
      <c r="F722">
        <v>0</v>
      </c>
      <c r="G722">
        <v>1</v>
      </c>
      <c r="H722">
        <v>158</v>
      </c>
      <c r="I722">
        <v>0</v>
      </c>
      <c r="J722">
        <v>0</v>
      </c>
      <c r="K722">
        <v>2</v>
      </c>
      <c r="L722">
        <v>0</v>
      </c>
      <c r="M722">
        <v>2</v>
      </c>
      <c r="N722">
        <v>0</v>
      </c>
      <c r="O722" t="str">
        <f t="shared" si="66"/>
        <v>Male</v>
      </c>
      <c r="P722" t="str">
        <f t="shared" si="67"/>
        <v>No Disease</v>
      </c>
      <c r="Q722" t="str">
        <f t="shared" si="68"/>
        <v>Non-Anginal Pain</v>
      </c>
      <c r="R722" t="str">
        <f t="shared" si="69"/>
        <v>Normal</v>
      </c>
      <c r="S722" t="str">
        <f t="shared" si="70"/>
        <v>No</v>
      </c>
      <c r="T722" t="str" cm="1">
        <f t="array" ref="T722">_xlfn.IFS(A721&lt;30,"18-29",A721&lt;40,"30-39",A721&lt;50,"40-49",A721&lt;60,"50-59",A721&gt;=60,"60+")</f>
        <v>50-59</v>
      </c>
      <c r="U722" t="str">
        <f t="shared" si="71"/>
        <v>High (Stage 2)</v>
      </c>
    </row>
    <row r="723" spans="1:21">
      <c r="A723">
        <v>45</v>
      </c>
      <c r="B723">
        <v>1</v>
      </c>
      <c r="C723">
        <v>0</v>
      </c>
      <c r="D723">
        <v>115</v>
      </c>
      <c r="E723">
        <v>260</v>
      </c>
      <c r="F723">
        <v>0</v>
      </c>
      <c r="G723">
        <v>0</v>
      </c>
      <c r="H723">
        <v>185</v>
      </c>
      <c r="I723">
        <v>0</v>
      </c>
      <c r="J723">
        <v>0</v>
      </c>
      <c r="K723">
        <v>2</v>
      </c>
      <c r="L723">
        <v>0</v>
      </c>
      <c r="M723">
        <v>2</v>
      </c>
      <c r="N723">
        <v>1</v>
      </c>
      <c r="O723" t="str">
        <f t="shared" si="66"/>
        <v>Male</v>
      </c>
      <c r="P723" t="str">
        <f t="shared" si="67"/>
        <v>Heart Disease</v>
      </c>
      <c r="Q723" t="str">
        <f t="shared" si="68"/>
        <v>Typical Angina</v>
      </c>
      <c r="R723" t="str">
        <f t="shared" si="69"/>
        <v>Normal</v>
      </c>
      <c r="S723" t="str">
        <f t="shared" si="70"/>
        <v>No</v>
      </c>
      <c r="T723" t="str" cm="1">
        <f t="array" ref="T723">_xlfn.IFS(A722&lt;30,"18-29",A722&lt;40,"30-39",A722&lt;50,"40-49",A722&lt;60,"50-59",A722&gt;=60,"60+")</f>
        <v>60+</v>
      </c>
      <c r="U723" t="str">
        <f t="shared" si="71"/>
        <v>Normal</v>
      </c>
    </row>
    <row r="724" spans="1:21">
      <c r="A724">
        <v>67</v>
      </c>
      <c r="B724">
        <v>0</v>
      </c>
      <c r="C724">
        <v>2</v>
      </c>
      <c r="D724">
        <v>152</v>
      </c>
      <c r="E724">
        <v>277</v>
      </c>
      <c r="F724">
        <v>0</v>
      </c>
      <c r="G724">
        <v>1</v>
      </c>
      <c r="H724">
        <v>172</v>
      </c>
      <c r="I724">
        <v>0</v>
      </c>
      <c r="J724">
        <v>0</v>
      </c>
      <c r="K724">
        <v>2</v>
      </c>
      <c r="L724">
        <v>1</v>
      </c>
      <c r="M724">
        <v>2</v>
      </c>
      <c r="N724">
        <v>1</v>
      </c>
      <c r="O724" t="str">
        <f t="shared" si="66"/>
        <v>Female</v>
      </c>
      <c r="P724" t="str">
        <f t="shared" si="67"/>
        <v>Heart Disease</v>
      </c>
      <c r="Q724" t="str">
        <f t="shared" si="68"/>
        <v>Non-Anginal Pain</v>
      </c>
      <c r="R724" t="str">
        <f t="shared" si="69"/>
        <v>Normal</v>
      </c>
      <c r="S724" t="str">
        <f t="shared" si="70"/>
        <v>No</v>
      </c>
      <c r="T724" t="str" cm="1">
        <f t="array" ref="T724">_xlfn.IFS(A723&lt;30,"18-29",A723&lt;40,"30-39",A723&lt;50,"40-49",A723&lt;60,"50-59",A723&gt;=60,"60+")</f>
        <v>40-49</v>
      </c>
      <c r="U724" t="str">
        <f t="shared" si="71"/>
        <v>High (Stage 2)</v>
      </c>
    </row>
    <row r="725" spans="1:21">
      <c r="A725">
        <v>68</v>
      </c>
      <c r="B725">
        <v>0</v>
      </c>
      <c r="C725">
        <v>2</v>
      </c>
      <c r="D725">
        <v>120</v>
      </c>
      <c r="E725">
        <v>211</v>
      </c>
      <c r="F725">
        <v>0</v>
      </c>
      <c r="G725">
        <v>0</v>
      </c>
      <c r="H725">
        <v>115</v>
      </c>
      <c r="I725">
        <v>0</v>
      </c>
      <c r="J725">
        <v>1.5</v>
      </c>
      <c r="K725">
        <v>1</v>
      </c>
      <c r="L725">
        <v>0</v>
      </c>
      <c r="M725">
        <v>2</v>
      </c>
      <c r="N725">
        <v>1</v>
      </c>
      <c r="O725" t="str">
        <f t="shared" si="66"/>
        <v>Female</v>
      </c>
      <c r="P725" t="str">
        <f t="shared" si="67"/>
        <v>Heart Disease</v>
      </c>
      <c r="Q725" t="str">
        <f t="shared" si="68"/>
        <v>Non-Anginal Pain</v>
      </c>
      <c r="R725" t="str">
        <f t="shared" si="69"/>
        <v>Normal</v>
      </c>
      <c r="S725" t="str">
        <f t="shared" si="70"/>
        <v>No</v>
      </c>
      <c r="T725" t="str" cm="1">
        <f t="array" ref="T725">_xlfn.IFS(A724&lt;30,"18-29",A724&lt;40,"30-39",A724&lt;50,"40-49",A724&lt;60,"50-59",A724&gt;=60,"60+")</f>
        <v>60+</v>
      </c>
      <c r="U725" t="str">
        <f t="shared" si="71"/>
        <v>Elevated</v>
      </c>
    </row>
    <row r="726" spans="1:21">
      <c r="A726">
        <v>74</v>
      </c>
      <c r="B726">
        <v>0</v>
      </c>
      <c r="C726">
        <v>1</v>
      </c>
      <c r="D726">
        <v>120</v>
      </c>
      <c r="E726">
        <v>269</v>
      </c>
      <c r="F726">
        <v>0</v>
      </c>
      <c r="G726">
        <v>0</v>
      </c>
      <c r="H726">
        <v>121</v>
      </c>
      <c r="I726">
        <v>1</v>
      </c>
      <c r="J726">
        <v>0.2</v>
      </c>
      <c r="K726">
        <v>2</v>
      </c>
      <c r="L726">
        <v>1</v>
      </c>
      <c r="M726">
        <v>2</v>
      </c>
      <c r="N726">
        <v>1</v>
      </c>
      <c r="O726" t="str">
        <f t="shared" si="66"/>
        <v>Female</v>
      </c>
      <c r="P726" t="str">
        <f t="shared" si="67"/>
        <v>Heart Disease</v>
      </c>
      <c r="Q726" t="str">
        <f t="shared" si="68"/>
        <v>Atypical Angina</v>
      </c>
      <c r="R726" t="str">
        <f t="shared" si="69"/>
        <v>Normal</v>
      </c>
      <c r="S726" t="str">
        <f t="shared" si="70"/>
        <v>Yes</v>
      </c>
      <c r="T726" t="str" cm="1">
        <f t="array" ref="T726">_xlfn.IFS(A725&lt;30,"18-29",A725&lt;40,"30-39",A725&lt;50,"40-49",A725&lt;60,"50-59",A725&gt;=60,"60+")</f>
        <v>60+</v>
      </c>
      <c r="U726" t="str">
        <f t="shared" si="71"/>
        <v>Elevated</v>
      </c>
    </row>
    <row r="727" spans="1:21">
      <c r="A727">
        <v>60</v>
      </c>
      <c r="B727">
        <v>0</v>
      </c>
      <c r="C727">
        <v>0</v>
      </c>
      <c r="D727">
        <v>150</v>
      </c>
      <c r="E727">
        <v>258</v>
      </c>
      <c r="F727">
        <v>0</v>
      </c>
      <c r="G727">
        <v>0</v>
      </c>
      <c r="H727">
        <v>157</v>
      </c>
      <c r="I727">
        <v>0</v>
      </c>
      <c r="J727">
        <v>2.6</v>
      </c>
      <c r="K727">
        <v>1</v>
      </c>
      <c r="L727">
        <v>2</v>
      </c>
      <c r="M727">
        <v>3</v>
      </c>
      <c r="N727">
        <v>0</v>
      </c>
      <c r="O727" t="str">
        <f t="shared" si="66"/>
        <v>Female</v>
      </c>
      <c r="P727" t="str">
        <f t="shared" si="67"/>
        <v>No Disease</v>
      </c>
      <c r="Q727" t="str">
        <f t="shared" si="68"/>
        <v>Typical Angina</v>
      </c>
      <c r="R727" t="str">
        <f t="shared" si="69"/>
        <v>Normal</v>
      </c>
      <c r="S727" t="str">
        <f t="shared" si="70"/>
        <v>No</v>
      </c>
      <c r="T727" t="str" cm="1">
        <f t="array" ref="T727">_xlfn.IFS(A726&lt;30,"18-29",A726&lt;40,"30-39",A726&lt;50,"40-49",A726&lt;60,"50-59",A726&gt;=60,"60+")</f>
        <v>60+</v>
      </c>
      <c r="U727" t="str">
        <f t="shared" si="71"/>
        <v>High (Stage 2)</v>
      </c>
    </row>
    <row r="728" spans="1:21">
      <c r="A728">
        <v>48</v>
      </c>
      <c r="B728">
        <v>1</v>
      </c>
      <c r="C728">
        <v>0</v>
      </c>
      <c r="D728">
        <v>124</v>
      </c>
      <c r="E728">
        <v>274</v>
      </c>
      <c r="F728">
        <v>0</v>
      </c>
      <c r="G728">
        <v>0</v>
      </c>
      <c r="H728">
        <v>166</v>
      </c>
      <c r="I728">
        <v>0</v>
      </c>
      <c r="J728">
        <v>0.5</v>
      </c>
      <c r="K728">
        <v>1</v>
      </c>
      <c r="L728">
        <v>0</v>
      </c>
      <c r="M728">
        <v>3</v>
      </c>
      <c r="N728">
        <v>0</v>
      </c>
      <c r="O728" t="str">
        <f t="shared" si="66"/>
        <v>Male</v>
      </c>
      <c r="P728" t="str">
        <f t="shared" si="67"/>
        <v>No Disease</v>
      </c>
      <c r="Q728" t="str">
        <f t="shared" si="68"/>
        <v>Typical Angina</v>
      </c>
      <c r="R728" t="str">
        <f t="shared" si="69"/>
        <v>Normal</v>
      </c>
      <c r="S728" t="str">
        <f t="shared" si="70"/>
        <v>No</v>
      </c>
      <c r="T728" t="str" cm="1">
        <f t="array" ref="T728">_xlfn.IFS(A727&lt;30,"18-29",A727&lt;40,"30-39",A727&lt;50,"40-49",A727&lt;60,"50-59",A727&gt;=60,"60+")</f>
        <v>60+</v>
      </c>
      <c r="U728" t="str">
        <f t="shared" si="71"/>
        <v>Elevated</v>
      </c>
    </row>
    <row r="729" spans="1:21">
      <c r="A729">
        <v>56</v>
      </c>
      <c r="B729">
        <v>1</v>
      </c>
      <c r="C729">
        <v>1</v>
      </c>
      <c r="D729">
        <v>130</v>
      </c>
      <c r="E729">
        <v>221</v>
      </c>
      <c r="F729">
        <v>0</v>
      </c>
      <c r="G729">
        <v>0</v>
      </c>
      <c r="H729">
        <v>163</v>
      </c>
      <c r="I729">
        <v>0</v>
      </c>
      <c r="J729">
        <v>0</v>
      </c>
      <c r="K729">
        <v>2</v>
      </c>
      <c r="L729">
        <v>0</v>
      </c>
      <c r="M729">
        <v>3</v>
      </c>
      <c r="N729">
        <v>1</v>
      </c>
      <c r="O729" t="str">
        <f t="shared" si="66"/>
        <v>Male</v>
      </c>
      <c r="P729" t="str">
        <f t="shared" si="67"/>
        <v>Heart Disease</v>
      </c>
      <c r="Q729" t="str">
        <f t="shared" si="68"/>
        <v>Atypical Angina</v>
      </c>
      <c r="R729" t="str">
        <f t="shared" si="69"/>
        <v>Normal</v>
      </c>
      <c r="S729" t="str">
        <f t="shared" si="70"/>
        <v>No</v>
      </c>
      <c r="T729" t="str" cm="1">
        <f t="array" ref="T729">_xlfn.IFS(A728&lt;30,"18-29",A728&lt;40,"30-39",A728&lt;50,"40-49",A728&lt;60,"50-59",A728&gt;=60,"60+")</f>
        <v>40-49</v>
      </c>
      <c r="U729" t="str">
        <f t="shared" si="71"/>
        <v>High (Stage 1)</v>
      </c>
    </row>
    <row r="730" spans="1:21">
      <c r="A730">
        <v>46</v>
      </c>
      <c r="B730">
        <v>1</v>
      </c>
      <c r="C730">
        <v>0</v>
      </c>
      <c r="D730">
        <v>140</v>
      </c>
      <c r="E730">
        <v>311</v>
      </c>
      <c r="F730">
        <v>0</v>
      </c>
      <c r="G730">
        <v>1</v>
      </c>
      <c r="H730">
        <v>120</v>
      </c>
      <c r="I730">
        <v>1</v>
      </c>
      <c r="J730">
        <v>1.8</v>
      </c>
      <c r="K730">
        <v>1</v>
      </c>
      <c r="L730">
        <v>2</v>
      </c>
      <c r="M730">
        <v>3</v>
      </c>
      <c r="N730">
        <v>0</v>
      </c>
      <c r="O730" t="str">
        <f t="shared" si="66"/>
        <v>Male</v>
      </c>
      <c r="P730" t="str">
        <f t="shared" si="67"/>
        <v>No Disease</v>
      </c>
      <c r="Q730" t="str">
        <f t="shared" si="68"/>
        <v>Typical Angina</v>
      </c>
      <c r="R730" t="str">
        <f t="shared" si="69"/>
        <v>Normal</v>
      </c>
      <c r="S730" t="str">
        <f t="shared" si="70"/>
        <v>Yes</v>
      </c>
      <c r="T730" t="str" cm="1">
        <f t="array" ref="T730">_xlfn.IFS(A729&lt;30,"18-29",A729&lt;40,"30-39",A729&lt;50,"40-49",A729&lt;60,"50-59",A729&gt;=60,"60+")</f>
        <v>50-59</v>
      </c>
      <c r="U730" t="str">
        <f t="shared" si="71"/>
        <v>High (Stage 2)</v>
      </c>
    </row>
    <row r="731" spans="1:21">
      <c r="A731">
        <v>55</v>
      </c>
      <c r="B731">
        <v>0</v>
      </c>
      <c r="C731">
        <v>1</v>
      </c>
      <c r="D731">
        <v>135</v>
      </c>
      <c r="E731">
        <v>250</v>
      </c>
      <c r="F731">
        <v>0</v>
      </c>
      <c r="G731">
        <v>0</v>
      </c>
      <c r="H731">
        <v>161</v>
      </c>
      <c r="I731">
        <v>0</v>
      </c>
      <c r="J731">
        <v>1.4</v>
      </c>
      <c r="K731">
        <v>1</v>
      </c>
      <c r="L731">
        <v>0</v>
      </c>
      <c r="M731">
        <v>2</v>
      </c>
      <c r="N731">
        <v>1</v>
      </c>
      <c r="O731" t="str">
        <f t="shared" si="66"/>
        <v>Female</v>
      </c>
      <c r="P731" t="str">
        <f t="shared" si="67"/>
        <v>Heart Disease</v>
      </c>
      <c r="Q731" t="str">
        <f t="shared" si="68"/>
        <v>Atypical Angina</v>
      </c>
      <c r="R731" t="str">
        <f t="shared" si="69"/>
        <v>Normal</v>
      </c>
      <c r="S731" t="str">
        <f t="shared" si="70"/>
        <v>No</v>
      </c>
      <c r="T731" t="str" cm="1">
        <f t="array" ref="T731">_xlfn.IFS(A730&lt;30,"18-29",A730&lt;40,"30-39",A730&lt;50,"40-49",A730&lt;60,"50-59",A730&gt;=60,"60+")</f>
        <v>40-49</v>
      </c>
      <c r="U731" t="str">
        <f t="shared" si="71"/>
        <v>High (Stage 1)</v>
      </c>
    </row>
    <row r="732" spans="1:21">
      <c r="A732">
        <v>44</v>
      </c>
      <c r="B732">
        <v>1</v>
      </c>
      <c r="C732">
        <v>1</v>
      </c>
      <c r="D732">
        <v>120</v>
      </c>
      <c r="E732">
        <v>220</v>
      </c>
      <c r="F732">
        <v>0</v>
      </c>
      <c r="G732">
        <v>1</v>
      </c>
      <c r="H732">
        <v>170</v>
      </c>
      <c r="I732">
        <v>0</v>
      </c>
      <c r="J732">
        <v>0</v>
      </c>
      <c r="K732">
        <v>2</v>
      </c>
      <c r="L732">
        <v>0</v>
      </c>
      <c r="M732">
        <v>2</v>
      </c>
      <c r="N732">
        <v>1</v>
      </c>
      <c r="O732" t="str">
        <f t="shared" si="66"/>
        <v>Male</v>
      </c>
      <c r="P732" t="str">
        <f t="shared" si="67"/>
        <v>Heart Disease</v>
      </c>
      <c r="Q732" t="str">
        <f t="shared" si="68"/>
        <v>Atypical Angina</v>
      </c>
      <c r="R732" t="str">
        <f t="shared" si="69"/>
        <v>Normal</v>
      </c>
      <c r="S732" t="str">
        <f t="shared" si="70"/>
        <v>No</v>
      </c>
      <c r="T732" t="str" cm="1">
        <f t="array" ref="T732">_xlfn.IFS(A731&lt;30,"18-29",A731&lt;40,"30-39",A731&lt;50,"40-49",A731&lt;60,"50-59",A731&gt;=60,"60+")</f>
        <v>50-59</v>
      </c>
      <c r="U732" t="str">
        <f t="shared" si="71"/>
        <v>Elevated</v>
      </c>
    </row>
    <row r="733" spans="1:21">
      <c r="A733">
        <v>52</v>
      </c>
      <c r="B733">
        <v>1</v>
      </c>
      <c r="C733">
        <v>0</v>
      </c>
      <c r="D733">
        <v>112</v>
      </c>
      <c r="E733">
        <v>230</v>
      </c>
      <c r="F733">
        <v>0</v>
      </c>
      <c r="G733">
        <v>1</v>
      </c>
      <c r="H733">
        <v>160</v>
      </c>
      <c r="I733">
        <v>0</v>
      </c>
      <c r="J733">
        <v>0</v>
      </c>
      <c r="K733">
        <v>2</v>
      </c>
      <c r="L733">
        <v>1</v>
      </c>
      <c r="M733">
        <v>2</v>
      </c>
      <c r="N733">
        <v>0</v>
      </c>
      <c r="O733" t="str">
        <f t="shared" si="66"/>
        <v>Male</v>
      </c>
      <c r="P733" t="str">
        <f t="shared" si="67"/>
        <v>No Disease</v>
      </c>
      <c r="Q733" t="str">
        <f t="shared" si="68"/>
        <v>Typical Angina</v>
      </c>
      <c r="R733" t="str">
        <f t="shared" si="69"/>
        <v>Normal</v>
      </c>
      <c r="S733" t="str">
        <f t="shared" si="70"/>
        <v>No</v>
      </c>
      <c r="T733" t="str" cm="1">
        <f t="array" ref="T733">_xlfn.IFS(A732&lt;30,"18-29",A732&lt;40,"30-39",A732&lt;50,"40-49",A732&lt;60,"50-59",A732&gt;=60,"60+")</f>
        <v>40-49</v>
      </c>
      <c r="U733" t="str">
        <f t="shared" si="71"/>
        <v>Normal</v>
      </c>
    </row>
    <row r="734" spans="1:21">
      <c r="A734">
        <v>51</v>
      </c>
      <c r="B734">
        <v>1</v>
      </c>
      <c r="C734">
        <v>2</v>
      </c>
      <c r="D734">
        <v>94</v>
      </c>
      <c r="E734">
        <v>227</v>
      </c>
      <c r="F734">
        <v>0</v>
      </c>
      <c r="G734">
        <v>1</v>
      </c>
      <c r="H734">
        <v>154</v>
      </c>
      <c r="I734">
        <v>1</v>
      </c>
      <c r="J734">
        <v>0</v>
      </c>
      <c r="K734">
        <v>2</v>
      </c>
      <c r="L734">
        <v>1</v>
      </c>
      <c r="M734">
        <v>3</v>
      </c>
      <c r="N734">
        <v>1</v>
      </c>
      <c r="O734" t="str">
        <f t="shared" si="66"/>
        <v>Male</v>
      </c>
      <c r="P734" t="str">
        <f t="shared" si="67"/>
        <v>Heart Disease</v>
      </c>
      <c r="Q734" t="str">
        <f t="shared" si="68"/>
        <v>Non-Anginal Pain</v>
      </c>
      <c r="R734" t="str">
        <f t="shared" si="69"/>
        <v>Normal</v>
      </c>
      <c r="S734" t="str">
        <f t="shared" si="70"/>
        <v>Yes</v>
      </c>
      <c r="T734" t="str" cm="1">
        <f t="array" ref="T734">_xlfn.IFS(A733&lt;30,"18-29",A733&lt;40,"30-39",A733&lt;50,"40-49",A733&lt;60,"50-59",A733&gt;=60,"60+")</f>
        <v>50-59</v>
      </c>
      <c r="U734" t="str">
        <f t="shared" si="71"/>
        <v>Normal</v>
      </c>
    </row>
    <row r="735" spans="1:21">
      <c r="A735">
        <v>44</v>
      </c>
      <c r="B735">
        <v>0</v>
      </c>
      <c r="C735">
        <v>2</v>
      </c>
      <c r="D735">
        <v>108</v>
      </c>
      <c r="E735">
        <v>141</v>
      </c>
      <c r="F735">
        <v>0</v>
      </c>
      <c r="G735">
        <v>1</v>
      </c>
      <c r="H735">
        <v>175</v>
      </c>
      <c r="I735">
        <v>0</v>
      </c>
      <c r="J735">
        <v>0.6</v>
      </c>
      <c r="K735">
        <v>1</v>
      </c>
      <c r="L735">
        <v>0</v>
      </c>
      <c r="M735">
        <v>2</v>
      </c>
      <c r="N735">
        <v>1</v>
      </c>
      <c r="O735" t="str">
        <f t="shared" si="66"/>
        <v>Female</v>
      </c>
      <c r="P735" t="str">
        <f t="shared" si="67"/>
        <v>Heart Disease</v>
      </c>
      <c r="Q735" t="str">
        <f t="shared" si="68"/>
        <v>Non-Anginal Pain</v>
      </c>
      <c r="R735" t="str">
        <f t="shared" si="69"/>
        <v>Normal</v>
      </c>
      <c r="S735" t="str">
        <f t="shared" si="70"/>
        <v>No</v>
      </c>
      <c r="T735" t="str" cm="1">
        <f t="array" ref="T735">_xlfn.IFS(A734&lt;30,"18-29",A734&lt;40,"30-39",A734&lt;50,"40-49",A734&lt;60,"50-59",A734&gt;=60,"60+")</f>
        <v>50-59</v>
      </c>
      <c r="U735" t="str">
        <f t="shared" si="71"/>
        <v>Normal</v>
      </c>
    </row>
    <row r="736" spans="1:21">
      <c r="A736">
        <v>52</v>
      </c>
      <c r="B736">
        <v>1</v>
      </c>
      <c r="C736">
        <v>0</v>
      </c>
      <c r="D736">
        <v>128</v>
      </c>
      <c r="E736">
        <v>204</v>
      </c>
      <c r="F736">
        <v>1</v>
      </c>
      <c r="G736">
        <v>1</v>
      </c>
      <c r="H736">
        <v>156</v>
      </c>
      <c r="I736">
        <v>1</v>
      </c>
      <c r="J736">
        <v>1</v>
      </c>
      <c r="K736">
        <v>1</v>
      </c>
      <c r="L736">
        <v>0</v>
      </c>
      <c r="M736">
        <v>0</v>
      </c>
      <c r="N736">
        <v>0</v>
      </c>
      <c r="O736" t="str">
        <f t="shared" si="66"/>
        <v>Male</v>
      </c>
      <c r="P736" t="str">
        <f t="shared" si="67"/>
        <v>No Disease</v>
      </c>
      <c r="Q736" t="str">
        <f t="shared" si="68"/>
        <v>Typical Angina</v>
      </c>
      <c r="R736" t="str">
        <f t="shared" si="69"/>
        <v>High</v>
      </c>
      <c r="S736" t="str">
        <f t="shared" si="70"/>
        <v>Yes</v>
      </c>
      <c r="T736" t="str" cm="1">
        <f t="array" ref="T736">_xlfn.IFS(A735&lt;30,"18-29",A735&lt;40,"30-39",A735&lt;50,"40-49",A735&lt;60,"50-59",A735&gt;=60,"60+")</f>
        <v>40-49</v>
      </c>
      <c r="U736" t="str">
        <f t="shared" si="71"/>
        <v>Elevated</v>
      </c>
    </row>
    <row r="737" spans="1:21">
      <c r="A737">
        <v>50</v>
      </c>
      <c r="B737">
        <v>1</v>
      </c>
      <c r="C737">
        <v>2</v>
      </c>
      <c r="D737">
        <v>129</v>
      </c>
      <c r="E737">
        <v>196</v>
      </c>
      <c r="F737">
        <v>0</v>
      </c>
      <c r="G737">
        <v>1</v>
      </c>
      <c r="H737">
        <v>163</v>
      </c>
      <c r="I737">
        <v>0</v>
      </c>
      <c r="J737">
        <v>0</v>
      </c>
      <c r="K737">
        <v>2</v>
      </c>
      <c r="L737">
        <v>0</v>
      </c>
      <c r="M737">
        <v>2</v>
      </c>
      <c r="N737">
        <v>1</v>
      </c>
      <c r="O737" t="str">
        <f t="shared" si="66"/>
        <v>Male</v>
      </c>
      <c r="P737" t="str">
        <f t="shared" si="67"/>
        <v>Heart Disease</v>
      </c>
      <c r="Q737" t="str">
        <f t="shared" si="68"/>
        <v>Non-Anginal Pain</v>
      </c>
      <c r="R737" t="str">
        <f t="shared" si="69"/>
        <v>Normal</v>
      </c>
      <c r="S737" t="str">
        <f t="shared" si="70"/>
        <v>No</v>
      </c>
      <c r="T737" t="str" cm="1">
        <f t="array" ref="T737">_xlfn.IFS(A736&lt;30,"18-29",A736&lt;40,"30-39",A736&lt;50,"40-49",A736&lt;60,"50-59",A736&gt;=60,"60+")</f>
        <v>50-59</v>
      </c>
      <c r="U737" t="str">
        <f t="shared" si="71"/>
        <v>Elevated</v>
      </c>
    </row>
    <row r="738" spans="1:21">
      <c r="A738">
        <v>59</v>
      </c>
      <c r="B738">
        <v>1</v>
      </c>
      <c r="C738">
        <v>0</v>
      </c>
      <c r="D738">
        <v>110</v>
      </c>
      <c r="E738">
        <v>239</v>
      </c>
      <c r="F738">
        <v>0</v>
      </c>
      <c r="G738">
        <v>0</v>
      </c>
      <c r="H738">
        <v>142</v>
      </c>
      <c r="I738">
        <v>1</v>
      </c>
      <c r="J738">
        <v>1.2</v>
      </c>
      <c r="K738">
        <v>1</v>
      </c>
      <c r="L738">
        <v>1</v>
      </c>
      <c r="M738">
        <v>3</v>
      </c>
      <c r="N738">
        <v>0</v>
      </c>
      <c r="O738" t="str">
        <f t="shared" si="66"/>
        <v>Male</v>
      </c>
      <c r="P738" t="str">
        <f t="shared" si="67"/>
        <v>No Disease</v>
      </c>
      <c r="Q738" t="str">
        <f t="shared" si="68"/>
        <v>Typical Angina</v>
      </c>
      <c r="R738" t="str">
        <f t="shared" si="69"/>
        <v>Normal</v>
      </c>
      <c r="S738" t="str">
        <f t="shared" si="70"/>
        <v>Yes</v>
      </c>
      <c r="T738" t="str" cm="1">
        <f t="array" ref="T738">_xlfn.IFS(A737&lt;30,"18-29",A737&lt;40,"30-39",A737&lt;50,"40-49",A737&lt;60,"50-59",A737&gt;=60,"60+")</f>
        <v>50-59</v>
      </c>
      <c r="U738" t="str">
        <f t="shared" si="71"/>
        <v>Normal</v>
      </c>
    </row>
    <row r="739" spans="1:21">
      <c r="A739">
        <v>67</v>
      </c>
      <c r="B739">
        <v>1</v>
      </c>
      <c r="C739">
        <v>0</v>
      </c>
      <c r="D739">
        <v>120</v>
      </c>
      <c r="E739">
        <v>229</v>
      </c>
      <c r="F739">
        <v>0</v>
      </c>
      <c r="G739">
        <v>0</v>
      </c>
      <c r="H739">
        <v>129</v>
      </c>
      <c r="I739">
        <v>1</v>
      </c>
      <c r="J739">
        <v>2.6</v>
      </c>
      <c r="K739">
        <v>1</v>
      </c>
      <c r="L739">
        <v>2</v>
      </c>
      <c r="M739">
        <v>3</v>
      </c>
      <c r="N739">
        <v>0</v>
      </c>
      <c r="O739" t="str">
        <f t="shared" si="66"/>
        <v>Male</v>
      </c>
      <c r="P739" t="str">
        <f t="shared" si="67"/>
        <v>No Disease</v>
      </c>
      <c r="Q739" t="str">
        <f t="shared" si="68"/>
        <v>Typical Angina</v>
      </c>
      <c r="R739" t="str">
        <f t="shared" si="69"/>
        <v>Normal</v>
      </c>
      <c r="S739" t="str">
        <f t="shared" si="70"/>
        <v>Yes</v>
      </c>
      <c r="T739" t="str" cm="1">
        <f t="array" ref="T739">_xlfn.IFS(A738&lt;30,"18-29",A738&lt;40,"30-39",A738&lt;50,"40-49",A738&lt;60,"50-59",A738&gt;=60,"60+")</f>
        <v>50-59</v>
      </c>
      <c r="U739" t="str">
        <f t="shared" si="71"/>
        <v>Elevated</v>
      </c>
    </row>
    <row r="740" spans="1:21">
      <c r="A740">
        <v>58</v>
      </c>
      <c r="B740">
        <v>1</v>
      </c>
      <c r="C740">
        <v>0</v>
      </c>
      <c r="D740">
        <v>125</v>
      </c>
      <c r="E740">
        <v>300</v>
      </c>
      <c r="F740">
        <v>0</v>
      </c>
      <c r="G740">
        <v>0</v>
      </c>
      <c r="H740">
        <v>171</v>
      </c>
      <c r="I740">
        <v>0</v>
      </c>
      <c r="J740">
        <v>0</v>
      </c>
      <c r="K740">
        <v>2</v>
      </c>
      <c r="L740">
        <v>2</v>
      </c>
      <c r="M740">
        <v>3</v>
      </c>
      <c r="N740">
        <v>0</v>
      </c>
      <c r="O740" t="str">
        <f t="shared" si="66"/>
        <v>Male</v>
      </c>
      <c r="P740" t="str">
        <f t="shared" si="67"/>
        <v>No Disease</v>
      </c>
      <c r="Q740" t="str">
        <f t="shared" si="68"/>
        <v>Typical Angina</v>
      </c>
      <c r="R740" t="str">
        <f t="shared" si="69"/>
        <v>Normal</v>
      </c>
      <c r="S740" t="str">
        <f t="shared" si="70"/>
        <v>No</v>
      </c>
      <c r="T740" t="str" cm="1">
        <f t="array" ref="T740">_xlfn.IFS(A739&lt;30,"18-29",A739&lt;40,"30-39",A739&lt;50,"40-49",A739&lt;60,"50-59",A739&gt;=60,"60+")</f>
        <v>60+</v>
      </c>
      <c r="U740" t="str">
        <f t="shared" si="71"/>
        <v>Elevated</v>
      </c>
    </row>
    <row r="741" spans="1:21">
      <c r="A741">
        <v>52</v>
      </c>
      <c r="B741">
        <v>1</v>
      </c>
      <c r="C741">
        <v>0</v>
      </c>
      <c r="D741">
        <v>128</v>
      </c>
      <c r="E741">
        <v>255</v>
      </c>
      <c r="F741">
        <v>0</v>
      </c>
      <c r="G741">
        <v>1</v>
      </c>
      <c r="H741">
        <v>161</v>
      </c>
      <c r="I741">
        <v>1</v>
      </c>
      <c r="J741">
        <v>0</v>
      </c>
      <c r="K741">
        <v>2</v>
      </c>
      <c r="L741">
        <v>1</v>
      </c>
      <c r="M741">
        <v>3</v>
      </c>
      <c r="N741">
        <v>0</v>
      </c>
      <c r="O741" t="str">
        <f t="shared" si="66"/>
        <v>Male</v>
      </c>
      <c r="P741" t="str">
        <f t="shared" si="67"/>
        <v>No Disease</v>
      </c>
      <c r="Q741" t="str">
        <f t="shared" si="68"/>
        <v>Typical Angina</v>
      </c>
      <c r="R741" t="str">
        <f t="shared" si="69"/>
        <v>Normal</v>
      </c>
      <c r="S741" t="str">
        <f t="shared" si="70"/>
        <v>Yes</v>
      </c>
      <c r="T741" t="str" cm="1">
        <f t="array" ref="T741">_xlfn.IFS(A740&lt;30,"18-29",A740&lt;40,"30-39",A740&lt;50,"40-49",A740&lt;60,"50-59",A740&gt;=60,"60+")</f>
        <v>50-59</v>
      </c>
      <c r="U741" t="str">
        <f t="shared" si="71"/>
        <v>Elevated</v>
      </c>
    </row>
    <row r="742" spans="1:21">
      <c r="A742">
        <v>44</v>
      </c>
      <c r="B742">
        <v>1</v>
      </c>
      <c r="C742">
        <v>2</v>
      </c>
      <c r="D742">
        <v>140</v>
      </c>
      <c r="E742">
        <v>235</v>
      </c>
      <c r="F742">
        <v>0</v>
      </c>
      <c r="G742">
        <v>0</v>
      </c>
      <c r="H742">
        <v>180</v>
      </c>
      <c r="I742">
        <v>0</v>
      </c>
      <c r="J742">
        <v>0</v>
      </c>
      <c r="K742">
        <v>2</v>
      </c>
      <c r="L742">
        <v>0</v>
      </c>
      <c r="M742">
        <v>2</v>
      </c>
      <c r="N742">
        <v>1</v>
      </c>
      <c r="O742" t="str">
        <f t="shared" si="66"/>
        <v>Male</v>
      </c>
      <c r="P742" t="str">
        <f t="shared" si="67"/>
        <v>Heart Disease</v>
      </c>
      <c r="Q742" t="str">
        <f t="shared" si="68"/>
        <v>Non-Anginal Pain</v>
      </c>
      <c r="R742" t="str">
        <f t="shared" si="69"/>
        <v>Normal</v>
      </c>
      <c r="S742" t="str">
        <f t="shared" si="70"/>
        <v>No</v>
      </c>
      <c r="T742" t="str" cm="1">
        <f t="array" ref="T742">_xlfn.IFS(A741&lt;30,"18-29",A741&lt;40,"30-39",A741&lt;50,"40-49",A741&lt;60,"50-59",A741&gt;=60,"60+")</f>
        <v>50-59</v>
      </c>
      <c r="U742" t="str">
        <f t="shared" si="71"/>
        <v>High (Stage 2)</v>
      </c>
    </row>
    <row r="743" spans="1:21">
      <c r="A743">
        <v>41</v>
      </c>
      <c r="B743">
        <v>0</v>
      </c>
      <c r="C743">
        <v>2</v>
      </c>
      <c r="D743">
        <v>112</v>
      </c>
      <c r="E743">
        <v>268</v>
      </c>
      <c r="F743">
        <v>0</v>
      </c>
      <c r="G743">
        <v>0</v>
      </c>
      <c r="H743">
        <v>172</v>
      </c>
      <c r="I743">
        <v>1</v>
      </c>
      <c r="J743">
        <v>0</v>
      </c>
      <c r="K743">
        <v>2</v>
      </c>
      <c r="L743">
        <v>0</v>
      </c>
      <c r="M743">
        <v>2</v>
      </c>
      <c r="N743">
        <v>1</v>
      </c>
      <c r="O743" t="str">
        <f t="shared" si="66"/>
        <v>Female</v>
      </c>
      <c r="P743" t="str">
        <f t="shared" si="67"/>
        <v>Heart Disease</v>
      </c>
      <c r="Q743" t="str">
        <f t="shared" si="68"/>
        <v>Non-Anginal Pain</v>
      </c>
      <c r="R743" t="str">
        <f t="shared" si="69"/>
        <v>Normal</v>
      </c>
      <c r="S743" t="str">
        <f t="shared" si="70"/>
        <v>Yes</v>
      </c>
      <c r="T743" t="str" cm="1">
        <f t="array" ref="T743">_xlfn.IFS(A742&lt;30,"18-29",A742&lt;40,"30-39",A742&lt;50,"40-49",A742&lt;60,"50-59",A742&gt;=60,"60+")</f>
        <v>40-49</v>
      </c>
      <c r="U743" t="str">
        <f t="shared" si="71"/>
        <v>Normal</v>
      </c>
    </row>
    <row r="744" spans="1:21">
      <c r="A744">
        <v>63</v>
      </c>
      <c r="B744">
        <v>1</v>
      </c>
      <c r="C744">
        <v>0</v>
      </c>
      <c r="D744">
        <v>130</v>
      </c>
      <c r="E744">
        <v>330</v>
      </c>
      <c r="F744">
        <v>1</v>
      </c>
      <c r="G744">
        <v>0</v>
      </c>
      <c r="H744">
        <v>132</v>
      </c>
      <c r="I744">
        <v>1</v>
      </c>
      <c r="J744">
        <v>1.8</v>
      </c>
      <c r="K744">
        <v>2</v>
      </c>
      <c r="L744">
        <v>3</v>
      </c>
      <c r="M744">
        <v>3</v>
      </c>
      <c r="N744">
        <v>0</v>
      </c>
      <c r="O744" t="str">
        <f t="shared" si="66"/>
        <v>Male</v>
      </c>
      <c r="P744" t="str">
        <f t="shared" si="67"/>
        <v>No Disease</v>
      </c>
      <c r="Q744" t="str">
        <f t="shared" si="68"/>
        <v>Typical Angina</v>
      </c>
      <c r="R744" t="str">
        <f t="shared" si="69"/>
        <v>High</v>
      </c>
      <c r="S744" t="str">
        <f t="shared" si="70"/>
        <v>Yes</v>
      </c>
      <c r="T744" t="str" cm="1">
        <f t="array" ref="T744">_xlfn.IFS(A743&lt;30,"18-29",A743&lt;40,"30-39",A743&lt;50,"40-49",A743&lt;60,"50-59",A743&gt;=60,"60+")</f>
        <v>40-49</v>
      </c>
      <c r="U744" t="str">
        <f t="shared" si="71"/>
        <v>High (Stage 1)</v>
      </c>
    </row>
    <row r="745" spans="1:21">
      <c r="A745">
        <v>58</v>
      </c>
      <c r="B745">
        <v>1</v>
      </c>
      <c r="C745">
        <v>1</v>
      </c>
      <c r="D745">
        <v>125</v>
      </c>
      <c r="E745">
        <v>220</v>
      </c>
      <c r="F745">
        <v>0</v>
      </c>
      <c r="G745">
        <v>1</v>
      </c>
      <c r="H745">
        <v>144</v>
      </c>
      <c r="I745">
        <v>0</v>
      </c>
      <c r="J745">
        <v>0.4</v>
      </c>
      <c r="K745">
        <v>1</v>
      </c>
      <c r="L745">
        <v>4</v>
      </c>
      <c r="M745">
        <v>3</v>
      </c>
      <c r="N745">
        <v>1</v>
      </c>
      <c r="O745" t="str">
        <f t="shared" si="66"/>
        <v>Male</v>
      </c>
      <c r="P745" t="str">
        <f t="shared" si="67"/>
        <v>Heart Disease</v>
      </c>
      <c r="Q745" t="str">
        <f t="shared" si="68"/>
        <v>Atypical Angina</v>
      </c>
      <c r="R745" t="str">
        <f t="shared" si="69"/>
        <v>Normal</v>
      </c>
      <c r="S745" t="str">
        <f t="shared" si="70"/>
        <v>No</v>
      </c>
      <c r="T745" t="str" cm="1">
        <f t="array" ref="T745">_xlfn.IFS(A744&lt;30,"18-29",A744&lt;40,"30-39",A744&lt;50,"40-49",A744&lt;60,"50-59",A744&gt;=60,"60+")</f>
        <v>60+</v>
      </c>
      <c r="U745" t="str">
        <f t="shared" si="71"/>
        <v>Elevated</v>
      </c>
    </row>
    <row r="746" spans="1:21">
      <c r="A746">
        <v>60</v>
      </c>
      <c r="B746">
        <v>0</v>
      </c>
      <c r="C746">
        <v>2</v>
      </c>
      <c r="D746">
        <v>102</v>
      </c>
      <c r="E746">
        <v>318</v>
      </c>
      <c r="F746">
        <v>0</v>
      </c>
      <c r="G746">
        <v>1</v>
      </c>
      <c r="H746">
        <v>160</v>
      </c>
      <c r="I746">
        <v>0</v>
      </c>
      <c r="J746">
        <v>0</v>
      </c>
      <c r="K746">
        <v>2</v>
      </c>
      <c r="L746">
        <v>1</v>
      </c>
      <c r="M746">
        <v>2</v>
      </c>
      <c r="N746">
        <v>1</v>
      </c>
      <c r="O746" t="str">
        <f t="shared" si="66"/>
        <v>Female</v>
      </c>
      <c r="P746" t="str">
        <f t="shared" si="67"/>
        <v>Heart Disease</v>
      </c>
      <c r="Q746" t="str">
        <f t="shared" si="68"/>
        <v>Non-Anginal Pain</v>
      </c>
      <c r="R746" t="str">
        <f t="shared" si="69"/>
        <v>Normal</v>
      </c>
      <c r="S746" t="str">
        <f t="shared" si="70"/>
        <v>No</v>
      </c>
      <c r="T746" t="str" cm="1">
        <f t="array" ref="T746">_xlfn.IFS(A745&lt;30,"18-29",A745&lt;40,"30-39",A745&lt;50,"40-49",A745&lt;60,"50-59",A745&gt;=60,"60+")</f>
        <v>50-59</v>
      </c>
      <c r="U746" t="str">
        <f t="shared" si="71"/>
        <v>Normal</v>
      </c>
    </row>
    <row r="747" spans="1:21">
      <c r="A747">
        <v>51</v>
      </c>
      <c r="B747">
        <v>1</v>
      </c>
      <c r="C747">
        <v>2</v>
      </c>
      <c r="D747">
        <v>100</v>
      </c>
      <c r="E747">
        <v>222</v>
      </c>
      <c r="F747">
        <v>0</v>
      </c>
      <c r="G747">
        <v>1</v>
      </c>
      <c r="H747">
        <v>143</v>
      </c>
      <c r="I747">
        <v>1</v>
      </c>
      <c r="J747">
        <v>1.2</v>
      </c>
      <c r="K747">
        <v>1</v>
      </c>
      <c r="L747">
        <v>0</v>
      </c>
      <c r="M747">
        <v>2</v>
      </c>
      <c r="N747">
        <v>1</v>
      </c>
      <c r="O747" t="str">
        <f t="shared" si="66"/>
        <v>Male</v>
      </c>
      <c r="P747" t="str">
        <f t="shared" si="67"/>
        <v>Heart Disease</v>
      </c>
      <c r="Q747" t="str">
        <f t="shared" si="68"/>
        <v>Non-Anginal Pain</v>
      </c>
      <c r="R747" t="str">
        <f t="shared" si="69"/>
        <v>Normal</v>
      </c>
      <c r="S747" t="str">
        <f t="shared" si="70"/>
        <v>Yes</v>
      </c>
      <c r="T747" t="str" cm="1">
        <f t="array" ref="T747">_xlfn.IFS(A746&lt;30,"18-29",A746&lt;40,"30-39",A746&lt;50,"40-49",A746&lt;60,"50-59",A746&gt;=60,"60+")</f>
        <v>60+</v>
      </c>
      <c r="U747" t="str">
        <f t="shared" si="71"/>
        <v>Normal</v>
      </c>
    </row>
    <row r="748" spans="1:21">
      <c r="A748">
        <v>64</v>
      </c>
      <c r="B748">
        <v>1</v>
      </c>
      <c r="C748">
        <v>2</v>
      </c>
      <c r="D748">
        <v>140</v>
      </c>
      <c r="E748">
        <v>335</v>
      </c>
      <c r="F748">
        <v>0</v>
      </c>
      <c r="G748">
        <v>1</v>
      </c>
      <c r="H748">
        <v>158</v>
      </c>
      <c r="I748">
        <v>0</v>
      </c>
      <c r="J748">
        <v>0</v>
      </c>
      <c r="K748">
        <v>2</v>
      </c>
      <c r="L748">
        <v>0</v>
      </c>
      <c r="M748">
        <v>2</v>
      </c>
      <c r="N748">
        <v>0</v>
      </c>
      <c r="O748" t="str">
        <f t="shared" si="66"/>
        <v>Male</v>
      </c>
      <c r="P748" t="str">
        <f t="shared" si="67"/>
        <v>No Disease</v>
      </c>
      <c r="Q748" t="str">
        <f t="shared" si="68"/>
        <v>Non-Anginal Pain</v>
      </c>
      <c r="R748" t="str">
        <f t="shared" si="69"/>
        <v>Normal</v>
      </c>
      <c r="S748" t="str">
        <f t="shared" si="70"/>
        <v>No</v>
      </c>
      <c r="T748" t="str" cm="1">
        <f t="array" ref="T748">_xlfn.IFS(A747&lt;30,"18-29",A747&lt;40,"30-39",A747&lt;50,"40-49",A747&lt;60,"50-59",A747&gt;=60,"60+")</f>
        <v>50-59</v>
      </c>
      <c r="U748" t="str">
        <f t="shared" si="71"/>
        <v>High (Stage 2)</v>
      </c>
    </row>
    <row r="749" spans="1:21">
      <c r="A749">
        <v>60</v>
      </c>
      <c r="B749">
        <v>1</v>
      </c>
      <c r="C749">
        <v>0</v>
      </c>
      <c r="D749">
        <v>117</v>
      </c>
      <c r="E749">
        <v>230</v>
      </c>
      <c r="F749">
        <v>1</v>
      </c>
      <c r="G749">
        <v>1</v>
      </c>
      <c r="H749">
        <v>160</v>
      </c>
      <c r="I749">
        <v>1</v>
      </c>
      <c r="J749">
        <v>1.4</v>
      </c>
      <c r="K749">
        <v>2</v>
      </c>
      <c r="L749">
        <v>2</v>
      </c>
      <c r="M749">
        <v>3</v>
      </c>
      <c r="N749">
        <v>0</v>
      </c>
      <c r="O749" t="str">
        <f t="shared" si="66"/>
        <v>Male</v>
      </c>
      <c r="P749" t="str">
        <f t="shared" si="67"/>
        <v>No Disease</v>
      </c>
      <c r="Q749" t="str">
        <f t="shared" si="68"/>
        <v>Typical Angina</v>
      </c>
      <c r="R749" t="str">
        <f t="shared" si="69"/>
        <v>High</v>
      </c>
      <c r="S749" t="str">
        <f t="shared" si="70"/>
        <v>Yes</v>
      </c>
      <c r="T749" t="str" cm="1">
        <f t="array" ref="T749">_xlfn.IFS(A748&lt;30,"18-29",A748&lt;40,"30-39",A748&lt;50,"40-49",A748&lt;60,"50-59",A748&gt;=60,"60+")</f>
        <v>60+</v>
      </c>
      <c r="U749" t="str">
        <f t="shared" si="71"/>
        <v>Normal</v>
      </c>
    </row>
    <row r="750" spans="1:21">
      <c r="A750">
        <v>44</v>
      </c>
      <c r="B750">
        <v>1</v>
      </c>
      <c r="C750">
        <v>2</v>
      </c>
      <c r="D750">
        <v>120</v>
      </c>
      <c r="E750">
        <v>226</v>
      </c>
      <c r="F750">
        <v>0</v>
      </c>
      <c r="G750">
        <v>1</v>
      </c>
      <c r="H750">
        <v>169</v>
      </c>
      <c r="I750">
        <v>0</v>
      </c>
      <c r="J750">
        <v>0</v>
      </c>
      <c r="K750">
        <v>2</v>
      </c>
      <c r="L750">
        <v>0</v>
      </c>
      <c r="M750">
        <v>2</v>
      </c>
      <c r="N750">
        <v>1</v>
      </c>
      <c r="O750" t="str">
        <f t="shared" si="66"/>
        <v>Male</v>
      </c>
      <c r="P750" t="str">
        <f t="shared" si="67"/>
        <v>Heart Disease</v>
      </c>
      <c r="Q750" t="str">
        <f t="shared" si="68"/>
        <v>Non-Anginal Pain</v>
      </c>
      <c r="R750" t="str">
        <f t="shared" si="69"/>
        <v>Normal</v>
      </c>
      <c r="S750" t="str">
        <f t="shared" si="70"/>
        <v>No</v>
      </c>
      <c r="T750" t="str" cm="1">
        <f t="array" ref="T750">_xlfn.IFS(A749&lt;30,"18-29",A749&lt;40,"30-39",A749&lt;50,"40-49",A749&lt;60,"50-59",A749&gt;=60,"60+")</f>
        <v>60+</v>
      </c>
      <c r="U750" t="str">
        <f t="shared" si="71"/>
        <v>Elevated</v>
      </c>
    </row>
    <row r="751" spans="1:21">
      <c r="A751">
        <v>58</v>
      </c>
      <c r="B751">
        <v>1</v>
      </c>
      <c r="C751">
        <v>1</v>
      </c>
      <c r="D751">
        <v>125</v>
      </c>
      <c r="E751">
        <v>220</v>
      </c>
      <c r="F751">
        <v>0</v>
      </c>
      <c r="G751">
        <v>1</v>
      </c>
      <c r="H751">
        <v>144</v>
      </c>
      <c r="I751">
        <v>0</v>
      </c>
      <c r="J751">
        <v>0.4</v>
      </c>
      <c r="K751">
        <v>1</v>
      </c>
      <c r="L751">
        <v>4</v>
      </c>
      <c r="M751">
        <v>3</v>
      </c>
      <c r="N751">
        <v>1</v>
      </c>
      <c r="O751" t="str">
        <f t="shared" si="66"/>
        <v>Male</v>
      </c>
      <c r="P751" t="str">
        <f t="shared" si="67"/>
        <v>Heart Disease</v>
      </c>
      <c r="Q751" t="str">
        <f t="shared" si="68"/>
        <v>Atypical Angina</v>
      </c>
      <c r="R751" t="str">
        <f t="shared" si="69"/>
        <v>Normal</v>
      </c>
      <c r="S751" t="str">
        <f t="shared" si="70"/>
        <v>No</v>
      </c>
      <c r="T751" t="str" cm="1">
        <f t="array" ref="T751">_xlfn.IFS(A750&lt;30,"18-29",A750&lt;40,"30-39",A750&lt;50,"40-49",A750&lt;60,"50-59",A750&gt;=60,"60+")</f>
        <v>40-49</v>
      </c>
      <c r="U751" t="str">
        <f t="shared" si="71"/>
        <v>Elevated</v>
      </c>
    </row>
    <row r="752" spans="1:21">
      <c r="A752">
        <v>55</v>
      </c>
      <c r="B752">
        <v>1</v>
      </c>
      <c r="C752">
        <v>1</v>
      </c>
      <c r="D752">
        <v>130</v>
      </c>
      <c r="E752">
        <v>262</v>
      </c>
      <c r="F752">
        <v>0</v>
      </c>
      <c r="G752">
        <v>1</v>
      </c>
      <c r="H752">
        <v>155</v>
      </c>
      <c r="I752">
        <v>0</v>
      </c>
      <c r="J752">
        <v>0</v>
      </c>
      <c r="K752">
        <v>2</v>
      </c>
      <c r="L752">
        <v>0</v>
      </c>
      <c r="M752">
        <v>2</v>
      </c>
      <c r="N752">
        <v>1</v>
      </c>
      <c r="O752" t="str">
        <f t="shared" si="66"/>
        <v>Male</v>
      </c>
      <c r="P752" t="str">
        <f t="shared" si="67"/>
        <v>Heart Disease</v>
      </c>
      <c r="Q752" t="str">
        <f t="shared" si="68"/>
        <v>Atypical Angina</v>
      </c>
      <c r="R752" t="str">
        <f t="shared" si="69"/>
        <v>Normal</v>
      </c>
      <c r="S752" t="str">
        <f t="shared" si="70"/>
        <v>No</v>
      </c>
      <c r="T752" t="str" cm="1">
        <f t="array" ref="T752">_xlfn.IFS(A751&lt;30,"18-29",A751&lt;40,"30-39",A751&lt;50,"40-49",A751&lt;60,"50-59",A751&gt;=60,"60+")</f>
        <v>50-59</v>
      </c>
      <c r="U752" t="str">
        <f t="shared" si="71"/>
        <v>High (Stage 1)</v>
      </c>
    </row>
    <row r="753" spans="1:21">
      <c r="A753">
        <v>65</v>
      </c>
      <c r="B753">
        <v>0</v>
      </c>
      <c r="C753">
        <v>2</v>
      </c>
      <c r="D753">
        <v>160</v>
      </c>
      <c r="E753">
        <v>360</v>
      </c>
      <c r="F753">
        <v>0</v>
      </c>
      <c r="G753">
        <v>0</v>
      </c>
      <c r="H753">
        <v>151</v>
      </c>
      <c r="I753">
        <v>0</v>
      </c>
      <c r="J753">
        <v>0.8</v>
      </c>
      <c r="K753">
        <v>2</v>
      </c>
      <c r="L753">
        <v>0</v>
      </c>
      <c r="M753">
        <v>2</v>
      </c>
      <c r="N753">
        <v>1</v>
      </c>
      <c r="O753" t="str">
        <f t="shared" si="66"/>
        <v>Female</v>
      </c>
      <c r="P753" t="str">
        <f t="shared" si="67"/>
        <v>Heart Disease</v>
      </c>
      <c r="Q753" t="str">
        <f t="shared" si="68"/>
        <v>Non-Anginal Pain</v>
      </c>
      <c r="R753" t="str">
        <f t="shared" si="69"/>
        <v>Normal</v>
      </c>
      <c r="S753" t="str">
        <f t="shared" si="70"/>
        <v>No</v>
      </c>
      <c r="T753" t="str" cm="1">
        <f t="array" ref="T753">_xlfn.IFS(A752&lt;30,"18-29",A752&lt;40,"30-39",A752&lt;50,"40-49",A752&lt;60,"50-59",A752&gt;=60,"60+")</f>
        <v>50-59</v>
      </c>
      <c r="U753" t="str">
        <f t="shared" si="71"/>
        <v>High (Stage 2)</v>
      </c>
    </row>
    <row r="754" spans="1:21">
      <c r="A754">
        <v>48</v>
      </c>
      <c r="B754">
        <v>1</v>
      </c>
      <c r="C754">
        <v>1</v>
      </c>
      <c r="D754">
        <v>130</v>
      </c>
      <c r="E754">
        <v>245</v>
      </c>
      <c r="F754">
        <v>0</v>
      </c>
      <c r="G754">
        <v>0</v>
      </c>
      <c r="H754">
        <v>180</v>
      </c>
      <c r="I754">
        <v>0</v>
      </c>
      <c r="J754">
        <v>0.2</v>
      </c>
      <c r="K754">
        <v>1</v>
      </c>
      <c r="L754">
        <v>0</v>
      </c>
      <c r="M754">
        <v>2</v>
      </c>
      <c r="N754">
        <v>1</v>
      </c>
      <c r="O754" t="str">
        <f t="shared" si="66"/>
        <v>Male</v>
      </c>
      <c r="P754" t="str">
        <f t="shared" si="67"/>
        <v>Heart Disease</v>
      </c>
      <c r="Q754" t="str">
        <f t="shared" si="68"/>
        <v>Atypical Angina</v>
      </c>
      <c r="R754" t="str">
        <f t="shared" si="69"/>
        <v>Normal</v>
      </c>
      <c r="S754" t="str">
        <f t="shared" si="70"/>
        <v>No</v>
      </c>
      <c r="T754" t="str" cm="1">
        <f t="array" ref="T754">_xlfn.IFS(A753&lt;30,"18-29",A753&lt;40,"30-39",A753&lt;50,"40-49",A753&lt;60,"50-59",A753&gt;=60,"60+")</f>
        <v>60+</v>
      </c>
      <c r="U754" t="str">
        <f t="shared" si="71"/>
        <v>High (Stage 1)</v>
      </c>
    </row>
    <row r="755" spans="1:21">
      <c r="A755">
        <v>65</v>
      </c>
      <c r="B755">
        <v>1</v>
      </c>
      <c r="C755">
        <v>0</v>
      </c>
      <c r="D755">
        <v>120</v>
      </c>
      <c r="E755">
        <v>177</v>
      </c>
      <c r="F755">
        <v>0</v>
      </c>
      <c r="G755">
        <v>1</v>
      </c>
      <c r="H755">
        <v>140</v>
      </c>
      <c r="I755">
        <v>0</v>
      </c>
      <c r="J755">
        <v>0.4</v>
      </c>
      <c r="K755">
        <v>2</v>
      </c>
      <c r="L755">
        <v>0</v>
      </c>
      <c r="M755">
        <v>3</v>
      </c>
      <c r="N755">
        <v>1</v>
      </c>
      <c r="O755" t="str">
        <f t="shared" si="66"/>
        <v>Male</v>
      </c>
      <c r="P755" t="str">
        <f t="shared" si="67"/>
        <v>Heart Disease</v>
      </c>
      <c r="Q755" t="str">
        <f t="shared" si="68"/>
        <v>Typical Angina</v>
      </c>
      <c r="R755" t="str">
        <f t="shared" si="69"/>
        <v>Normal</v>
      </c>
      <c r="S755" t="str">
        <f t="shared" si="70"/>
        <v>No</v>
      </c>
      <c r="T755" t="str" cm="1">
        <f t="array" ref="T755">_xlfn.IFS(A754&lt;30,"18-29",A754&lt;40,"30-39",A754&lt;50,"40-49",A754&lt;60,"50-59",A754&gt;=60,"60+")</f>
        <v>40-49</v>
      </c>
      <c r="U755" t="str">
        <f t="shared" si="71"/>
        <v>Elevated</v>
      </c>
    </row>
    <row r="756" spans="1:21">
      <c r="A756">
        <v>51</v>
      </c>
      <c r="B756">
        <v>0</v>
      </c>
      <c r="C756">
        <v>2</v>
      </c>
      <c r="D756">
        <v>130</v>
      </c>
      <c r="E756">
        <v>256</v>
      </c>
      <c r="F756">
        <v>0</v>
      </c>
      <c r="G756">
        <v>0</v>
      </c>
      <c r="H756">
        <v>149</v>
      </c>
      <c r="I756">
        <v>0</v>
      </c>
      <c r="J756">
        <v>0.5</v>
      </c>
      <c r="K756">
        <v>2</v>
      </c>
      <c r="L756">
        <v>0</v>
      </c>
      <c r="M756">
        <v>2</v>
      </c>
      <c r="N756">
        <v>1</v>
      </c>
      <c r="O756" t="str">
        <f t="shared" si="66"/>
        <v>Female</v>
      </c>
      <c r="P756" t="str">
        <f t="shared" si="67"/>
        <v>Heart Disease</v>
      </c>
      <c r="Q756" t="str">
        <f t="shared" si="68"/>
        <v>Non-Anginal Pain</v>
      </c>
      <c r="R756" t="str">
        <f t="shared" si="69"/>
        <v>Normal</v>
      </c>
      <c r="S756" t="str">
        <f t="shared" si="70"/>
        <v>No</v>
      </c>
      <c r="T756" t="str" cm="1">
        <f t="array" ref="T756">_xlfn.IFS(A755&lt;30,"18-29",A755&lt;40,"30-39",A755&lt;50,"40-49",A755&lt;60,"50-59",A755&gt;=60,"60+")</f>
        <v>60+</v>
      </c>
      <c r="U756" t="str">
        <f t="shared" si="71"/>
        <v>High (Stage 1)</v>
      </c>
    </row>
    <row r="757" spans="1:21">
      <c r="A757">
        <v>48</v>
      </c>
      <c r="B757">
        <v>1</v>
      </c>
      <c r="C757">
        <v>2</v>
      </c>
      <c r="D757">
        <v>124</v>
      </c>
      <c r="E757">
        <v>255</v>
      </c>
      <c r="F757">
        <v>1</v>
      </c>
      <c r="G757">
        <v>1</v>
      </c>
      <c r="H757">
        <v>175</v>
      </c>
      <c r="I757">
        <v>0</v>
      </c>
      <c r="J757">
        <v>0</v>
      </c>
      <c r="K757">
        <v>2</v>
      </c>
      <c r="L757">
        <v>2</v>
      </c>
      <c r="M757">
        <v>2</v>
      </c>
      <c r="N757">
        <v>1</v>
      </c>
      <c r="O757" t="str">
        <f t="shared" si="66"/>
        <v>Male</v>
      </c>
      <c r="P757" t="str">
        <f t="shared" si="67"/>
        <v>Heart Disease</v>
      </c>
      <c r="Q757" t="str">
        <f t="shared" si="68"/>
        <v>Non-Anginal Pain</v>
      </c>
      <c r="R757" t="str">
        <f t="shared" si="69"/>
        <v>High</v>
      </c>
      <c r="S757" t="str">
        <f t="shared" si="70"/>
        <v>No</v>
      </c>
      <c r="T757" t="str" cm="1">
        <f t="array" ref="T757">_xlfn.IFS(A756&lt;30,"18-29",A756&lt;40,"30-39",A756&lt;50,"40-49",A756&lt;60,"50-59",A756&gt;=60,"60+")</f>
        <v>50-59</v>
      </c>
      <c r="U757" t="str">
        <f t="shared" si="71"/>
        <v>Elevated</v>
      </c>
    </row>
    <row r="758" spans="1:21">
      <c r="A758">
        <v>64</v>
      </c>
      <c r="B758">
        <v>1</v>
      </c>
      <c r="C758">
        <v>0</v>
      </c>
      <c r="D758">
        <v>120</v>
      </c>
      <c r="E758">
        <v>246</v>
      </c>
      <c r="F758">
        <v>0</v>
      </c>
      <c r="G758">
        <v>0</v>
      </c>
      <c r="H758">
        <v>96</v>
      </c>
      <c r="I758">
        <v>1</v>
      </c>
      <c r="J758">
        <v>2.2000000000000002</v>
      </c>
      <c r="K758">
        <v>0</v>
      </c>
      <c r="L758">
        <v>1</v>
      </c>
      <c r="M758">
        <v>2</v>
      </c>
      <c r="N758">
        <v>0</v>
      </c>
      <c r="O758" t="str">
        <f t="shared" si="66"/>
        <v>Male</v>
      </c>
      <c r="P758" t="str">
        <f t="shared" si="67"/>
        <v>No Disease</v>
      </c>
      <c r="Q758" t="str">
        <f t="shared" si="68"/>
        <v>Typical Angina</v>
      </c>
      <c r="R758" t="str">
        <f t="shared" si="69"/>
        <v>Normal</v>
      </c>
      <c r="S758" t="str">
        <f t="shared" si="70"/>
        <v>Yes</v>
      </c>
      <c r="T758" t="str" cm="1">
        <f t="array" ref="T758">_xlfn.IFS(A757&lt;30,"18-29",A757&lt;40,"30-39",A757&lt;50,"40-49",A757&lt;60,"50-59",A757&gt;=60,"60+")</f>
        <v>40-49</v>
      </c>
      <c r="U758" t="str">
        <f t="shared" si="71"/>
        <v>Elevated</v>
      </c>
    </row>
    <row r="759" spans="1:21">
      <c r="A759">
        <v>66</v>
      </c>
      <c r="B759">
        <v>1</v>
      </c>
      <c r="C759">
        <v>0</v>
      </c>
      <c r="D759">
        <v>160</v>
      </c>
      <c r="E759">
        <v>228</v>
      </c>
      <c r="F759">
        <v>0</v>
      </c>
      <c r="G759">
        <v>0</v>
      </c>
      <c r="H759">
        <v>138</v>
      </c>
      <c r="I759">
        <v>0</v>
      </c>
      <c r="J759">
        <v>2.2999999999999998</v>
      </c>
      <c r="K759">
        <v>2</v>
      </c>
      <c r="L759">
        <v>0</v>
      </c>
      <c r="M759">
        <v>1</v>
      </c>
      <c r="N759">
        <v>1</v>
      </c>
      <c r="O759" t="str">
        <f t="shared" si="66"/>
        <v>Male</v>
      </c>
      <c r="P759" t="str">
        <f t="shared" si="67"/>
        <v>Heart Disease</v>
      </c>
      <c r="Q759" t="str">
        <f t="shared" si="68"/>
        <v>Typical Angina</v>
      </c>
      <c r="R759" t="str">
        <f t="shared" si="69"/>
        <v>Normal</v>
      </c>
      <c r="S759" t="str">
        <f t="shared" si="70"/>
        <v>No</v>
      </c>
      <c r="T759" t="str" cm="1">
        <f t="array" ref="T759">_xlfn.IFS(A758&lt;30,"18-29",A758&lt;40,"30-39",A758&lt;50,"40-49",A758&lt;60,"50-59",A758&gt;=60,"60+")</f>
        <v>60+</v>
      </c>
      <c r="U759" t="str">
        <f t="shared" si="71"/>
        <v>High (Stage 2)</v>
      </c>
    </row>
    <row r="760" spans="1:21">
      <c r="A760">
        <v>46</v>
      </c>
      <c r="B760">
        <v>0</v>
      </c>
      <c r="C760">
        <v>1</v>
      </c>
      <c r="D760">
        <v>105</v>
      </c>
      <c r="E760">
        <v>204</v>
      </c>
      <c r="F760">
        <v>0</v>
      </c>
      <c r="G760">
        <v>1</v>
      </c>
      <c r="H760">
        <v>172</v>
      </c>
      <c r="I760">
        <v>0</v>
      </c>
      <c r="J760">
        <v>0</v>
      </c>
      <c r="K760">
        <v>2</v>
      </c>
      <c r="L760">
        <v>0</v>
      </c>
      <c r="M760">
        <v>2</v>
      </c>
      <c r="N760">
        <v>1</v>
      </c>
      <c r="O760" t="str">
        <f t="shared" si="66"/>
        <v>Female</v>
      </c>
      <c r="P760" t="str">
        <f t="shared" si="67"/>
        <v>Heart Disease</v>
      </c>
      <c r="Q760" t="str">
        <f t="shared" si="68"/>
        <v>Atypical Angina</v>
      </c>
      <c r="R760" t="str">
        <f t="shared" si="69"/>
        <v>Normal</v>
      </c>
      <c r="S760" t="str">
        <f t="shared" si="70"/>
        <v>No</v>
      </c>
      <c r="T760" t="str" cm="1">
        <f t="array" ref="T760">_xlfn.IFS(A759&lt;30,"18-29",A759&lt;40,"30-39",A759&lt;50,"40-49",A759&lt;60,"50-59",A759&gt;=60,"60+")</f>
        <v>60+</v>
      </c>
      <c r="U760" t="str">
        <f t="shared" si="71"/>
        <v>Normal</v>
      </c>
    </row>
    <row r="761" spans="1:21">
      <c r="A761">
        <v>61</v>
      </c>
      <c r="B761">
        <v>0</v>
      </c>
      <c r="C761">
        <v>0</v>
      </c>
      <c r="D761">
        <v>130</v>
      </c>
      <c r="E761">
        <v>330</v>
      </c>
      <c r="F761">
        <v>0</v>
      </c>
      <c r="G761">
        <v>0</v>
      </c>
      <c r="H761">
        <v>169</v>
      </c>
      <c r="I761">
        <v>0</v>
      </c>
      <c r="J761">
        <v>0</v>
      </c>
      <c r="K761">
        <v>2</v>
      </c>
      <c r="L761">
        <v>0</v>
      </c>
      <c r="M761">
        <v>2</v>
      </c>
      <c r="N761">
        <v>0</v>
      </c>
      <c r="O761" t="str">
        <f t="shared" si="66"/>
        <v>Female</v>
      </c>
      <c r="P761" t="str">
        <f t="shared" si="67"/>
        <v>No Disease</v>
      </c>
      <c r="Q761" t="str">
        <f t="shared" si="68"/>
        <v>Typical Angina</v>
      </c>
      <c r="R761" t="str">
        <f t="shared" si="69"/>
        <v>Normal</v>
      </c>
      <c r="S761" t="str">
        <f t="shared" si="70"/>
        <v>No</v>
      </c>
      <c r="T761" t="str" cm="1">
        <f t="array" ref="T761">_xlfn.IFS(A760&lt;30,"18-29",A760&lt;40,"30-39",A760&lt;50,"40-49",A760&lt;60,"50-59",A760&gt;=60,"60+")</f>
        <v>40-49</v>
      </c>
      <c r="U761" t="str">
        <f t="shared" si="71"/>
        <v>High (Stage 1)</v>
      </c>
    </row>
    <row r="762" spans="1:21">
      <c r="A762">
        <v>57</v>
      </c>
      <c r="B762">
        <v>1</v>
      </c>
      <c r="C762">
        <v>0</v>
      </c>
      <c r="D762">
        <v>150</v>
      </c>
      <c r="E762">
        <v>276</v>
      </c>
      <c r="F762">
        <v>0</v>
      </c>
      <c r="G762">
        <v>0</v>
      </c>
      <c r="H762">
        <v>112</v>
      </c>
      <c r="I762">
        <v>1</v>
      </c>
      <c r="J762">
        <v>0.6</v>
      </c>
      <c r="K762">
        <v>1</v>
      </c>
      <c r="L762">
        <v>1</v>
      </c>
      <c r="M762">
        <v>1</v>
      </c>
      <c r="N762">
        <v>0</v>
      </c>
      <c r="O762" t="str">
        <f t="shared" si="66"/>
        <v>Male</v>
      </c>
      <c r="P762" t="str">
        <f t="shared" si="67"/>
        <v>No Disease</v>
      </c>
      <c r="Q762" t="str">
        <f t="shared" si="68"/>
        <v>Typical Angina</v>
      </c>
      <c r="R762" t="str">
        <f t="shared" si="69"/>
        <v>Normal</v>
      </c>
      <c r="S762" t="str">
        <f t="shared" si="70"/>
        <v>Yes</v>
      </c>
      <c r="T762" t="str" cm="1">
        <f t="array" ref="T762">_xlfn.IFS(A761&lt;30,"18-29",A761&lt;40,"30-39",A761&lt;50,"40-49",A761&lt;60,"50-59",A761&gt;=60,"60+")</f>
        <v>60+</v>
      </c>
      <c r="U762" t="str">
        <f t="shared" si="71"/>
        <v>High (Stage 2)</v>
      </c>
    </row>
    <row r="763" spans="1:21">
      <c r="A763">
        <v>49</v>
      </c>
      <c r="B763">
        <v>0</v>
      </c>
      <c r="C763">
        <v>0</v>
      </c>
      <c r="D763">
        <v>130</v>
      </c>
      <c r="E763">
        <v>269</v>
      </c>
      <c r="F763">
        <v>0</v>
      </c>
      <c r="G763">
        <v>1</v>
      </c>
      <c r="H763">
        <v>163</v>
      </c>
      <c r="I763">
        <v>0</v>
      </c>
      <c r="J763">
        <v>0</v>
      </c>
      <c r="K763">
        <v>2</v>
      </c>
      <c r="L763">
        <v>0</v>
      </c>
      <c r="M763">
        <v>2</v>
      </c>
      <c r="N763">
        <v>1</v>
      </c>
      <c r="O763" t="str">
        <f t="shared" si="66"/>
        <v>Female</v>
      </c>
      <c r="P763" t="str">
        <f t="shared" si="67"/>
        <v>Heart Disease</v>
      </c>
      <c r="Q763" t="str">
        <f t="shared" si="68"/>
        <v>Typical Angina</v>
      </c>
      <c r="R763" t="str">
        <f t="shared" si="69"/>
        <v>Normal</v>
      </c>
      <c r="S763" t="str">
        <f t="shared" si="70"/>
        <v>No</v>
      </c>
      <c r="T763" t="str" cm="1">
        <f t="array" ref="T763">_xlfn.IFS(A762&lt;30,"18-29",A762&lt;40,"30-39",A762&lt;50,"40-49",A762&lt;60,"50-59",A762&gt;=60,"60+")</f>
        <v>50-59</v>
      </c>
      <c r="U763" t="str">
        <f t="shared" si="71"/>
        <v>High (Stage 1)</v>
      </c>
    </row>
    <row r="764" spans="1:21">
      <c r="A764">
        <v>56</v>
      </c>
      <c r="B764">
        <v>1</v>
      </c>
      <c r="C764">
        <v>1</v>
      </c>
      <c r="D764">
        <v>130</v>
      </c>
      <c r="E764">
        <v>221</v>
      </c>
      <c r="F764">
        <v>0</v>
      </c>
      <c r="G764">
        <v>0</v>
      </c>
      <c r="H764">
        <v>163</v>
      </c>
      <c r="I764">
        <v>0</v>
      </c>
      <c r="J764">
        <v>0</v>
      </c>
      <c r="K764">
        <v>2</v>
      </c>
      <c r="L764">
        <v>0</v>
      </c>
      <c r="M764">
        <v>3</v>
      </c>
      <c r="N764">
        <v>1</v>
      </c>
      <c r="O764" t="str">
        <f t="shared" si="66"/>
        <v>Male</v>
      </c>
      <c r="P764" t="str">
        <f t="shared" si="67"/>
        <v>Heart Disease</v>
      </c>
      <c r="Q764" t="str">
        <f t="shared" si="68"/>
        <v>Atypical Angina</v>
      </c>
      <c r="R764" t="str">
        <f t="shared" si="69"/>
        <v>Normal</v>
      </c>
      <c r="S764" t="str">
        <f t="shared" si="70"/>
        <v>No</v>
      </c>
      <c r="T764" t="str" cm="1">
        <f t="array" ref="T764">_xlfn.IFS(A763&lt;30,"18-29",A763&lt;40,"30-39",A763&lt;50,"40-49",A763&lt;60,"50-59",A763&gt;=60,"60+")</f>
        <v>40-49</v>
      </c>
      <c r="U764" t="str">
        <f t="shared" si="71"/>
        <v>High (Stage 1)</v>
      </c>
    </row>
    <row r="765" spans="1:21">
      <c r="A765">
        <v>58</v>
      </c>
      <c r="B765">
        <v>0</v>
      </c>
      <c r="C765">
        <v>3</v>
      </c>
      <c r="D765">
        <v>150</v>
      </c>
      <c r="E765">
        <v>283</v>
      </c>
      <c r="F765">
        <v>1</v>
      </c>
      <c r="G765">
        <v>0</v>
      </c>
      <c r="H765">
        <v>162</v>
      </c>
      <c r="I765">
        <v>0</v>
      </c>
      <c r="J765">
        <v>1</v>
      </c>
      <c r="K765">
        <v>2</v>
      </c>
      <c r="L765">
        <v>0</v>
      </c>
      <c r="M765">
        <v>2</v>
      </c>
      <c r="N765">
        <v>1</v>
      </c>
      <c r="O765" t="str">
        <f t="shared" si="66"/>
        <v>Female</v>
      </c>
      <c r="P765" t="str">
        <f t="shared" si="67"/>
        <v>Heart Disease</v>
      </c>
      <c r="Q765" t="str">
        <f t="shared" si="68"/>
        <v>Asymptomatic</v>
      </c>
      <c r="R765" t="str">
        <f t="shared" si="69"/>
        <v>High</v>
      </c>
      <c r="S765" t="str">
        <f t="shared" si="70"/>
        <v>No</v>
      </c>
      <c r="T765" t="str" cm="1">
        <f t="array" ref="T765">_xlfn.IFS(A764&lt;30,"18-29",A764&lt;40,"30-39",A764&lt;50,"40-49",A764&lt;60,"50-59",A764&gt;=60,"60+")</f>
        <v>50-59</v>
      </c>
      <c r="U765" t="str">
        <f t="shared" si="71"/>
        <v>High (Stage 2)</v>
      </c>
    </row>
    <row r="766" spans="1:21">
      <c r="A766">
        <v>63</v>
      </c>
      <c r="B766">
        <v>1</v>
      </c>
      <c r="C766">
        <v>0</v>
      </c>
      <c r="D766">
        <v>140</v>
      </c>
      <c r="E766">
        <v>187</v>
      </c>
      <c r="F766">
        <v>0</v>
      </c>
      <c r="G766">
        <v>0</v>
      </c>
      <c r="H766">
        <v>144</v>
      </c>
      <c r="I766">
        <v>1</v>
      </c>
      <c r="J766">
        <v>4</v>
      </c>
      <c r="K766">
        <v>2</v>
      </c>
      <c r="L766">
        <v>2</v>
      </c>
      <c r="M766">
        <v>3</v>
      </c>
      <c r="N766">
        <v>0</v>
      </c>
      <c r="O766" t="str">
        <f t="shared" si="66"/>
        <v>Male</v>
      </c>
      <c r="P766" t="str">
        <f t="shared" si="67"/>
        <v>No Disease</v>
      </c>
      <c r="Q766" t="str">
        <f t="shared" si="68"/>
        <v>Typical Angina</v>
      </c>
      <c r="R766" t="str">
        <f t="shared" si="69"/>
        <v>Normal</v>
      </c>
      <c r="S766" t="str">
        <f t="shared" si="70"/>
        <v>Yes</v>
      </c>
      <c r="T766" t="str" cm="1">
        <f t="array" ref="T766">_xlfn.IFS(A765&lt;30,"18-29",A765&lt;40,"30-39",A765&lt;50,"40-49",A765&lt;60,"50-59",A765&gt;=60,"60+")</f>
        <v>50-59</v>
      </c>
      <c r="U766" t="str">
        <f t="shared" si="71"/>
        <v>High (Stage 2)</v>
      </c>
    </row>
    <row r="767" spans="1:21">
      <c r="A767">
        <v>57</v>
      </c>
      <c r="B767">
        <v>1</v>
      </c>
      <c r="C767">
        <v>0</v>
      </c>
      <c r="D767">
        <v>110</v>
      </c>
      <c r="E767">
        <v>335</v>
      </c>
      <c r="F767">
        <v>0</v>
      </c>
      <c r="G767">
        <v>1</v>
      </c>
      <c r="H767">
        <v>143</v>
      </c>
      <c r="I767">
        <v>1</v>
      </c>
      <c r="J767">
        <v>3</v>
      </c>
      <c r="K767">
        <v>1</v>
      </c>
      <c r="L767">
        <v>1</v>
      </c>
      <c r="M767">
        <v>3</v>
      </c>
      <c r="N767">
        <v>0</v>
      </c>
      <c r="O767" t="str">
        <f t="shared" si="66"/>
        <v>Male</v>
      </c>
      <c r="P767" t="str">
        <f t="shared" si="67"/>
        <v>No Disease</v>
      </c>
      <c r="Q767" t="str">
        <f t="shared" si="68"/>
        <v>Typical Angina</v>
      </c>
      <c r="R767" t="str">
        <f t="shared" si="69"/>
        <v>Normal</v>
      </c>
      <c r="S767" t="str">
        <f t="shared" si="70"/>
        <v>Yes</v>
      </c>
      <c r="T767" t="str" cm="1">
        <f t="array" ref="T767">_xlfn.IFS(A766&lt;30,"18-29",A766&lt;40,"30-39",A766&lt;50,"40-49",A766&lt;60,"50-59",A766&gt;=60,"60+")</f>
        <v>60+</v>
      </c>
      <c r="U767" t="str">
        <f t="shared" si="71"/>
        <v>Normal</v>
      </c>
    </row>
    <row r="768" spans="1:21">
      <c r="A768">
        <v>57</v>
      </c>
      <c r="B768">
        <v>1</v>
      </c>
      <c r="C768">
        <v>0</v>
      </c>
      <c r="D768">
        <v>110</v>
      </c>
      <c r="E768">
        <v>335</v>
      </c>
      <c r="F768">
        <v>0</v>
      </c>
      <c r="G768">
        <v>1</v>
      </c>
      <c r="H768">
        <v>143</v>
      </c>
      <c r="I768">
        <v>1</v>
      </c>
      <c r="J768">
        <v>3</v>
      </c>
      <c r="K768">
        <v>1</v>
      </c>
      <c r="L768">
        <v>1</v>
      </c>
      <c r="M768">
        <v>3</v>
      </c>
      <c r="N768">
        <v>0</v>
      </c>
      <c r="O768" t="str">
        <f t="shared" si="66"/>
        <v>Male</v>
      </c>
      <c r="P768" t="str">
        <f t="shared" si="67"/>
        <v>No Disease</v>
      </c>
      <c r="Q768" t="str">
        <f t="shared" si="68"/>
        <v>Typical Angina</v>
      </c>
      <c r="R768" t="str">
        <f t="shared" si="69"/>
        <v>Normal</v>
      </c>
      <c r="S768" t="str">
        <f t="shared" si="70"/>
        <v>Yes</v>
      </c>
      <c r="T768" t="str" cm="1">
        <f t="array" ref="T768">_xlfn.IFS(A767&lt;30,"18-29",A767&lt;40,"30-39",A767&lt;50,"40-49",A767&lt;60,"50-59",A767&gt;=60,"60+")</f>
        <v>50-59</v>
      </c>
      <c r="U768" t="str">
        <f t="shared" si="71"/>
        <v>Normal</v>
      </c>
    </row>
    <row r="769" spans="1:21">
      <c r="A769">
        <v>68</v>
      </c>
      <c r="B769">
        <v>1</v>
      </c>
      <c r="C769">
        <v>0</v>
      </c>
      <c r="D769">
        <v>144</v>
      </c>
      <c r="E769">
        <v>193</v>
      </c>
      <c r="F769">
        <v>1</v>
      </c>
      <c r="G769">
        <v>1</v>
      </c>
      <c r="H769">
        <v>141</v>
      </c>
      <c r="I769">
        <v>0</v>
      </c>
      <c r="J769">
        <v>3.4</v>
      </c>
      <c r="K769">
        <v>1</v>
      </c>
      <c r="L769">
        <v>2</v>
      </c>
      <c r="M769">
        <v>3</v>
      </c>
      <c r="N769">
        <v>0</v>
      </c>
      <c r="O769" t="str">
        <f t="shared" si="66"/>
        <v>Male</v>
      </c>
      <c r="P769" t="str">
        <f t="shared" si="67"/>
        <v>No Disease</v>
      </c>
      <c r="Q769" t="str">
        <f t="shared" si="68"/>
        <v>Typical Angina</v>
      </c>
      <c r="R769" t="str">
        <f t="shared" si="69"/>
        <v>High</v>
      </c>
      <c r="S769" t="str">
        <f t="shared" si="70"/>
        <v>No</v>
      </c>
      <c r="T769" t="str" cm="1">
        <f t="array" ref="T769">_xlfn.IFS(A768&lt;30,"18-29",A768&lt;40,"30-39",A768&lt;50,"40-49",A768&lt;60,"50-59",A768&gt;=60,"60+")</f>
        <v>50-59</v>
      </c>
      <c r="U769" t="str">
        <f t="shared" si="71"/>
        <v>High (Stage 2)</v>
      </c>
    </row>
    <row r="770" spans="1:21">
      <c r="A770">
        <v>46</v>
      </c>
      <c r="B770">
        <v>1</v>
      </c>
      <c r="C770">
        <v>1</v>
      </c>
      <c r="D770">
        <v>101</v>
      </c>
      <c r="E770">
        <v>197</v>
      </c>
      <c r="F770">
        <v>1</v>
      </c>
      <c r="G770">
        <v>1</v>
      </c>
      <c r="H770">
        <v>156</v>
      </c>
      <c r="I770">
        <v>0</v>
      </c>
      <c r="J770">
        <v>0</v>
      </c>
      <c r="K770">
        <v>2</v>
      </c>
      <c r="L770">
        <v>0</v>
      </c>
      <c r="M770">
        <v>3</v>
      </c>
      <c r="N770">
        <v>1</v>
      </c>
      <c r="O770" t="str">
        <f t="shared" ref="O770:O833" si="72">IF(B770=1,"Male","Female")</f>
        <v>Male</v>
      </c>
      <c r="P770" t="str">
        <f t="shared" ref="P770:P833" si="73">IF(N770=1,"Heart Disease","No Disease")</f>
        <v>Heart Disease</v>
      </c>
      <c r="Q770" t="str">
        <f t="shared" ref="Q770:Q833" si="74">IF(C770=0,"Typical Angina",IF(C770=1,"Atypical Angina",IF(C770=2,"Non-Anginal Pain","Asymptomatic")))</f>
        <v>Atypical Angina</v>
      </c>
      <c r="R770" t="str">
        <f t="shared" ref="R770:R833" si="75">IF(F770=1,"High","Normal")</f>
        <v>High</v>
      </c>
      <c r="S770" t="str">
        <f t="shared" ref="S770:S833" si="76">IF(I770=1,"Yes","No")</f>
        <v>No</v>
      </c>
      <c r="T770" t="str" cm="1">
        <f t="array" ref="T770">_xlfn.IFS(A769&lt;30,"18-29",A769&lt;40,"30-39",A769&lt;50,"40-49",A769&lt;60,"50-59",A769&gt;=60,"60+")</f>
        <v>60+</v>
      </c>
      <c r="U770" t="str">
        <f t="shared" ref="U770:U833" si="77">IF(D770&lt;120,"Normal",IF(D770&lt;130,"Elevated",IF(D770&lt;140,"High (Stage 1)","High (Stage 2)")))</f>
        <v>Normal</v>
      </c>
    </row>
    <row r="771" spans="1:21">
      <c r="A771">
        <v>71</v>
      </c>
      <c r="B771">
        <v>0</v>
      </c>
      <c r="C771">
        <v>2</v>
      </c>
      <c r="D771">
        <v>110</v>
      </c>
      <c r="E771">
        <v>265</v>
      </c>
      <c r="F771">
        <v>1</v>
      </c>
      <c r="G771">
        <v>0</v>
      </c>
      <c r="H771">
        <v>130</v>
      </c>
      <c r="I771">
        <v>0</v>
      </c>
      <c r="J771">
        <v>0</v>
      </c>
      <c r="K771">
        <v>2</v>
      </c>
      <c r="L771">
        <v>1</v>
      </c>
      <c r="M771">
        <v>2</v>
      </c>
      <c r="N771">
        <v>1</v>
      </c>
      <c r="O771" t="str">
        <f t="shared" si="72"/>
        <v>Female</v>
      </c>
      <c r="P771" t="str">
        <f t="shared" si="73"/>
        <v>Heart Disease</v>
      </c>
      <c r="Q771" t="str">
        <f t="shared" si="74"/>
        <v>Non-Anginal Pain</v>
      </c>
      <c r="R771" t="str">
        <f t="shared" si="75"/>
        <v>High</v>
      </c>
      <c r="S771" t="str">
        <f t="shared" si="76"/>
        <v>No</v>
      </c>
      <c r="T771" t="str" cm="1">
        <f t="array" ref="T771">_xlfn.IFS(A770&lt;30,"18-29",A770&lt;40,"30-39",A770&lt;50,"40-49",A770&lt;60,"50-59",A770&gt;=60,"60+")</f>
        <v>40-49</v>
      </c>
      <c r="U771" t="str">
        <f t="shared" si="77"/>
        <v>Normal</v>
      </c>
    </row>
    <row r="772" spans="1:21">
      <c r="A772">
        <v>41</v>
      </c>
      <c r="B772">
        <v>1</v>
      </c>
      <c r="C772">
        <v>1</v>
      </c>
      <c r="D772">
        <v>135</v>
      </c>
      <c r="E772">
        <v>203</v>
      </c>
      <c r="F772">
        <v>0</v>
      </c>
      <c r="G772">
        <v>1</v>
      </c>
      <c r="H772">
        <v>132</v>
      </c>
      <c r="I772">
        <v>0</v>
      </c>
      <c r="J772">
        <v>0</v>
      </c>
      <c r="K772">
        <v>1</v>
      </c>
      <c r="L772">
        <v>0</v>
      </c>
      <c r="M772">
        <v>1</v>
      </c>
      <c r="N772">
        <v>1</v>
      </c>
      <c r="O772" t="str">
        <f t="shared" si="72"/>
        <v>Male</v>
      </c>
      <c r="P772" t="str">
        <f t="shared" si="73"/>
        <v>Heart Disease</v>
      </c>
      <c r="Q772" t="str">
        <f t="shared" si="74"/>
        <v>Atypical Angina</v>
      </c>
      <c r="R772" t="str">
        <f t="shared" si="75"/>
        <v>Normal</v>
      </c>
      <c r="S772" t="str">
        <f t="shared" si="76"/>
        <v>No</v>
      </c>
      <c r="T772" t="str" cm="1">
        <f t="array" ref="T772">_xlfn.IFS(A771&lt;30,"18-29",A771&lt;40,"30-39",A771&lt;50,"40-49",A771&lt;60,"50-59",A771&gt;=60,"60+")</f>
        <v>60+</v>
      </c>
      <c r="U772" t="str">
        <f t="shared" si="77"/>
        <v>High (Stage 1)</v>
      </c>
    </row>
    <row r="773" spans="1:21">
      <c r="A773">
        <v>45</v>
      </c>
      <c r="B773">
        <v>0</v>
      </c>
      <c r="C773">
        <v>0</v>
      </c>
      <c r="D773">
        <v>138</v>
      </c>
      <c r="E773">
        <v>236</v>
      </c>
      <c r="F773">
        <v>0</v>
      </c>
      <c r="G773">
        <v>0</v>
      </c>
      <c r="H773">
        <v>152</v>
      </c>
      <c r="I773">
        <v>1</v>
      </c>
      <c r="J773">
        <v>0.2</v>
      </c>
      <c r="K773">
        <v>1</v>
      </c>
      <c r="L773">
        <v>0</v>
      </c>
      <c r="M773">
        <v>2</v>
      </c>
      <c r="N773">
        <v>1</v>
      </c>
      <c r="O773" t="str">
        <f t="shared" si="72"/>
        <v>Female</v>
      </c>
      <c r="P773" t="str">
        <f t="shared" si="73"/>
        <v>Heart Disease</v>
      </c>
      <c r="Q773" t="str">
        <f t="shared" si="74"/>
        <v>Typical Angina</v>
      </c>
      <c r="R773" t="str">
        <f t="shared" si="75"/>
        <v>Normal</v>
      </c>
      <c r="S773" t="str">
        <f t="shared" si="76"/>
        <v>Yes</v>
      </c>
      <c r="T773" t="str" cm="1">
        <f t="array" ref="T773">_xlfn.IFS(A772&lt;30,"18-29",A772&lt;40,"30-39",A772&lt;50,"40-49",A772&lt;60,"50-59",A772&gt;=60,"60+")</f>
        <v>40-49</v>
      </c>
      <c r="U773" t="str">
        <f t="shared" si="77"/>
        <v>High (Stage 1)</v>
      </c>
    </row>
    <row r="774" spans="1:21">
      <c r="A774">
        <v>62</v>
      </c>
      <c r="B774">
        <v>0</v>
      </c>
      <c r="C774">
        <v>0</v>
      </c>
      <c r="D774">
        <v>150</v>
      </c>
      <c r="E774">
        <v>244</v>
      </c>
      <c r="F774">
        <v>0</v>
      </c>
      <c r="G774">
        <v>1</v>
      </c>
      <c r="H774">
        <v>154</v>
      </c>
      <c r="I774">
        <v>1</v>
      </c>
      <c r="J774">
        <v>1.4</v>
      </c>
      <c r="K774">
        <v>1</v>
      </c>
      <c r="L774">
        <v>0</v>
      </c>
      <c r="M774">
        <v>2</v>
      </c>
      <c r="N774">
        <v>0</v>
      </c>
      <c r="O774" t="str">
        <f t="shared" si="72"/>
        <v>Female</v>
      </c>
      <c r="P774" t="str">
        <f t="shared" si="73"/>
        <v>No Disease</v>
      </c>
      <c r="Q774" t="str">
        <f t="shared" si="74"/>
        <v>Typical Angina</v>
      </c>
      <c r="R774" t="str">
        <f t="shared" si="75"/>
        <v>Normal</v>
      </c>
      <c r="S774" t="str">
        <f t="shared" si="76"/>
        <v>Yes</v>
      </c>
      <c r="T774" t="str" cm="1">
        <f t="array" ref="T774">_xlfn.IFS(A773&lt;30,"18-29",A773&lt;40,"30-39",A773&lt;50,"40-49",A773&lt;60,"50-59",A773&gt;=60,"60+")</f>
        <v>40-49</v>
      </c>
      <c r="U774" t="str">
        <f t="shared" si="77"/>
        <v>High (Stage 2)</v>
      </c>
    </row>
    <row r="775" spans="1:21">
      <c r="A775">
        <v>65</v>
      </c>
      <c r="B775">
        <v>0</v>
      </c>
      <c r="C775">
        <v>0</v>
      </c>
      <c r="D775">
        <v>150</v>
      </c>
      <c r="E775">
        <v>225</v>
      </c>
      <c r="F775">
        <v>0</v>
      </c>
      <c r="G775">
        <v>0</v>
      </c>
      <c r="H775">
        <v>114</v>
      </c>
      <c r="I775">
        <v>0</v>
      </c>
      <c r="J775">
        <v>1</v>
      </c>
      <c r="K775">
        <v>1</v>
      </c>
      <c r="L775">
        <v>3</v>
      </c>
      <c r="M775">
        <v>3</v>
      </c>
      <c r="N775">
        <v>0</v>
      </c>
      <c r="O775" t="str">
        <f t="shared" si="72"/>
        <v>Female</v>
      </c>
      <c r="P775" t="str">
        <f t="shared" si="73"/>
        <v>No Disease</v>
      </c>
      <c r="Q775" t="str">
        <f t="shared" si="74"/>
        <v>Typical Angina</v>
      </c>
      <c r="R775" t="str">
        <f t="shared" si="75"/>
        <v>Normal</v>
      </c>
      <c r="S775" t="str">
        <f t="shared" si="76"/>
        <v>No</v>
      </c>
      <c r="T775" t="str" cm="1">
        <f t="array" ref="T775">_xlfn.IFS(A774&lt;30,"18-29",A774&lt;40,"30-39",A774&lt;50,"40-49",A774&lt;60,"50-59",A774&gt;=60,"60+")</f>
        <v>60+</v>
      </c>
      <c r="U775" t="str">
        <f t="shared" si="77"/>
        <v>High (Stage 2)</v>
      </c>
    </row>
    <row r="776" spans="1:21">
      <c r="A776">
        <v>48</v>
      </c>
      <c r="B776">
        <v>0</v>
      </c>
      <c r="C776">
        <v>2</v>
      </c>
      <c r="D776">
        <v>130</v>
      </c>
      <c r="E776">
        <v>275</v>
      </c>
      <c r="F776">
        <v>0</v>
      </c>
      <c r="G776">
        <v>1</v>
      </c>
      <c r="H776">
        <v>139</v>
      </c>
      <c r="I776">
        <v>0</v>
      </c>
      <c r="J776">
        <v>0.2</v>
      </c>
      <c r="K776">
        <v>2</v>
      </c>
      <c r="L776">
        <v>0</v>
      </c>
      <c r="M776">
        <v>2</v>
      </c>
      <c r="N776">
        <v>1</v>
      </c>
      <c r="O776" t="str">
        <f t="shared" si="72"/>
        <v>Female</v>
      </c>
      <c r="P776" t="str">
        <f t="shared" si="73"/>
        <v>Heart Disease</v>
      </c>
      <c r="Q776" t="str">
        <f t="shared" si="74"/>
        <v>Non-Anginal Pain</v>
      </c>
      <c r="R776" t="str">
        <f t="shared" si="75"/>
        <v>Normal</v>
      </c>
      <c r="S776" t="str">
        <f t="shared" si="76"/>
        <v>No</v>
      </c>
      <c r="T776" t="str" cm="1">
        <f t="array" ref="T776">_xlfn.IFS(A775&lt;30,"18-29",A775&lt;40,"30-39",A775&lt;50,"40-49",A775&lt;60,"50-59",A775&gt;=60,"60+")</f>
        <v>60+</v>
      </c>
      <c r="U776" t="str">
        <f t="shared" si="77"/>
        <v>High (Stage 1)</v>
      </c>
    </row>
    <row r="777" spans="1:21">
      <c r="A777">
        <v>51</v>
      </c>
      <c r="B777">
        <v>1</v>
      </c>
      <c r="C777">
        <v>2</v>
      </c>
      <c r="D777">
        <v>100</v>
      </c>
      <c r="E777">
        <v>222</v>
      </c>
      <c r="F777">
        <v>0</v>
      </c>
      <c r="G777">
        <v>1</v>
      </c>
      <c r="H777">
        <v>143</v>
      </c>
      <c r="I777">
        <v>1</v>
      </c>
      <c r="J777">
        <v>1.2</v>
      </c>
      <c r="K777">
        <v>1</v>
      </c>
      <c r="L777">
        <v>0</v>
      </c>
      <c r="M777">
        <v>2</v>
      </c>
      <c r="N777">
        <v>1</v>
      </c>
      <c r="O777" t="str">
        <f t="shared" si="72"/>
        <v>Male</v>
      </c>
      <c r="P777" t="str">
        <f t="shared" si="73"/>
        <v>Heart Disease</v>
      </c>
      <c r="Q777" t="str">
        <f t="shared" si="74"/>
        <v>Non-Anginal Pain</v>
      </c>
      <c r="R777" t="str">
        <f t="shared" si="75"/>
        <v>Normal</v>
      </c>
      <c r="S777" t="str">
        <f t="shared" si="76"/>
        <v>Yes</v>
      </c>
      <c r="T777" t="str" cm="1">
        <f t="array" ref="T777">_xlfn.IFS(A776&lt;30,"18-29",A776&lt;40,"30-39",A776&lt;50,"40-49",A776&lt;60,"50-59",A776&gt;=60,"60+")</f>
        <v>40-49</v>
      </c>
      <c r="U777" t="str">
        <f t="shared" si="77"/>
        <v>Normal</v>
      </c>
    </row>
    <row r="778" spans="1:21">
      <c r="A778">
        <v>61</v>
      </c>
      <c r="B778">
        <v>0</v>
      </c>
      <c r="C778">
        <v>0</v>
      </c>
      <c r="D778">
        <v>145</v>
      </c>
      <c r="E778">
        <v>307</v>
      </c>
      <c r="F778">
        <v>0</v>
      </c>
      <c r="G778">
        <v>0</v>
      </c>
      <c r="H778">
        <v>146</v>
      </c>
      <c r="I778">
        <v>1</v>
      </c>
      <c r="J778">
        <v>1</v>
      </c>
      <c r="K778">
        <v>1</v>
      </c>
      <c r="L778">
        <v>0</v>
      </c>
      <c r="M778">
        <v>3</v>
      </c>
      <c r="N778">
        <v>0</v>
      </c>
      <c r="O778" t="str">
        <f t="shared" si="72"/>
        <v>Female</v>
      </c>
      <c r="P778" t="str">
        <f t="shared" si="73"/>
        <v>No Disease</v>
      </c>
      <c r="Q778" t="str">
        <f t="shared" si="74"/>
        <v>Typical Angina</v>
      </c>
      <c r="R778" t="str">
        <f t="shared" si="75"/>
        <v>Normal</v>
      </c>
      <c r="S778" t="str">
        <f t="shared" si="76"/>
        <v>Yes</v>
      </c>
      <c r="T778" t="str" cm="1">
        <f t="array" ref="T778">_xlfn.IFS(A777&lt;30,"18-29",A777&lt;40,"30-39",A777&lt;50,"40-49",A777&lt;60,"50-59",A777&gt;=60,"60+")</f>
        <v>50-59</v>
      </c>
      <c r="U778" t="str">
        <f t="shared" si="77"/>
        <v>High (Stage 2)</v>
      </c>
    </row>
    <row r="779" spans="1:21">
      <c r="A779">
        <v>53</v>
      </c>
      <c r="B779">
        <v>1</v>
      </c>
      <c r="C779">
        <v>0</v>
      </c>
      <c r="D779">
        <v>123</v>
      </c>
      <c r="E779">
        <v>282</v>
      </c>
      <c r="F779">
        <v>0</v>
      </c>
      <c r="G779">
        <v>1</v>
      </c>
      <c r="H779">
        <v>95</v>
      </c>
      <c r="I779">
        <v>1</v>
      </c>
      <c r="J779">
        <v>2</v>
      </c>
      <c r="K779">
        <v>1</v>
      </c>
      <c r="L779">
        <v>2</v>
      </c>
      <c r="M779">
        <v>3</v>
      </c>
      <c r="N779">
        <v>0</v>
      </c>
      <c r="O779" t="str">
        <f t="shared" si="72"/>
        <v>Male</v>
      </c>
      <c r="P779" t="str">
        <f t="shared" si="73"/>
        <v>No Disease</v>
      </c>
      <c r="Q779" t="str">
        <f t="shared" si="74"/>
        <v>Typical Angina</v>
      </c>
      <c r="R779" t="str">
        <f t="shared" si="75"/>
        <v>Normal</v>
      </c>
      <c r="S779" t="str">
        <f t="shared" si="76"/>
        <v>Yes</v>
      </c>
      <c r="T779" t="str" cm="1">
        <f t="array" ref="T779">_xlfn.IFS(A778&lt;30,"18-29",A778&lt;40,"30-39",A778&lt;50,"40-49",A778&lt;60,"50-59",A778&gt;=60,"60+")</f>
        <v>60+</v>
      </c>
      <c r="U779" t="str">
        <f t="shared" si="77"/>
        <v>Elevated</v>
      </c>
    </row>
    <row r="780" spans="1:21">
      <c r="A780">
        <v>59</v>
      </c>
      <c r="B780">
        <v>1</v>
      </c>
      <c r="C780">
        <v>3</v>
      </c>
      <c r="D780">
        <v>134</v>
      </c>
      <c r="E780">
        <v>204</v>
      </c>
      <c r="F780">
        <v>0</v>
      </c>
      <c r="G780">
        <v>1</v>
      </c>
      <c r="H780">
        <v>162</v>
      </c>
      <c r="I780">
        <v>0</v>
      </c>
      <c r="J780">
        <v>0.8</v>
      </c>
      <c r="K780">
        <v>2</v>
      </c>
      <c r="L780">
        <v>2</v>
      </c>
      <c r="M780">
        <v>2</v>
      </c>
      <c r="N780">
        <v>0</v>
      </c>
      <c r="O780" t="str">
        <f t="shared" si="72"/>
        <v>Male</v>
      </c>
      <c r="P780" t="str">
        <f t="shared" si="73"/>
        <v>No Disease</v>
      </c>
      <c r="Q780" t="str">
        <f t="shared" si="74"/>
        <v>Asymptomatic</v>
      </c>
      <c r="R780" t="str">
        <f t="shared" si="75"/>
        <v>Normal</v>
      </c>
      <c r="S780" t="str">
        <f t="shared" si="76"/>
        <v>No</v>
      </c>
      <c r="T780" t="str" cm="1">
        <f t="array" ref="T780">_xlfn.IFS(A779&lt;30,"18-29",A779&lt;40,"30-39",A779&lt;50,"40-49",A779&lt;60,"50-59",A779&gt;=60,"60+")</f>
        <v>50-59</v>
      </c>
      <c r="U780" t="str">
        <f t="shared" si="77"/>
        <v>High (Stage 1)</v>
      </c>
    </row>
    <row r="781" spans="1:21">
      <c r="A781">
        <v>34</v>
      </c>
      <c r="B781">
        <v>0</v>
      </c>
      <c r="C781">
        <v>1</v>
      </c>
      <c r="D781">
        <v>118</v>
      </c>
      <c r="E781">
        <v>210</v>
      </c>
      <c r="F781">
        <v>0</v>
      </c>
      <c r="G781">
        <v>1</v>
      </c>
      <c r="H781">
        <v>192</v>
      </c>
      <c r="I781">
        <v>0</v>
      </c>
      <c r="J781">
        <v>0.7</v>
      </c>
      <c r="K781">
        <v>2</v>
      </c>
      <c r="L781">
        <v>0</v>
      </c>
      <c r="M781">
        <v>2</v>
      </c>
      <c r="N781">
        <v>1</v>
      </c>
      <c r="O781" t="str">
        <f t="shared" si="72"/>
        <v>Female</v>
      </c>
      <c r="P781" t="str">
        <f t="shared" si="73"/>
        <v>Heart Disease</v>
      </c>
      <c r="Q781" t="str">
        <f t="shared" si="74"/>
        <v>Atypical Angina</v>
      </c>
      <c r="R781" t="str">
        <f t="shared" si="75"/>
        <v>Normal</v>
      </c>
      <c r="S781" t="str">
        <f t="shared" si="76"/>
        <v>No</v>
      </c>
      <c r="T781" t="str" cm="1">
        <f t="array" ref="T781">_xlfn.IFS(A780&lt;30,"18-29",A780&lt;40,"30-39",A780&lt;50,"40-49",A780&lt;60,"50-59",A780&gt;=60,"60+")</f>
        <v>50-59</v>
      </c>
      <c r="U781" t="str">
        <f t="shared" si="77"/>
        <v>Normal</v>
      </c>
    </row>
    <row r="782" spans="1:21">
      <c r="A782">
        <v>44</v>
      </c>
      <c r="B782">
        <v>1</v>
      </c>
      <c r="C782">
        <v>0</v>
      </c>
      <c r="D782">
        <v>120</v>
      </c>
      <c r="E782">
        <v>169</v>
      </c>
      <c r="F782">
        <v>0</v>
      </c>
      <c r="G782">
        <v>1</v>
      </c>
      <c r="H782">
        <v>144</v>
      </c>
      <c r="I782">
        <v>1</v>
      </c>
      <c r="J782">
        <v>2.8</v>
      </c>
      <c r="K782">
        <v>0</v>
      </c>
      <c r="L782">
        <v>0</v>
      </c>
      <c r="M782">
        <v>1</v>
      </c>
      <c r="N782">
        <v>0</v>
      </c>
      <c r="O782" t="str">
        <f t="shared" si="72"/>
        <v>Male</v>
      </c>
      <c r="P782" t="str">
        <f t="shared" si="73"/>
        <v>No Disease</v>
      </c>
      <c r="Q782" t="str">
        <f t="shared" si="74"/>
        <v>Typical Angina</v>
      </c>
      <c r="R782" t="str">
        <f t="shared" si="75"/>
        <v>Normal</v>
      </c>
      <c r="S782" t="str">
        <f t="shared" si="76"/>
        <v>Yes</v>
      </c>
      <c r="T782" t="str" cm="1">
        <f t="array" ref="T782">_xlfn.IFS(A781&lt;30,"18-29",A781&lt;40,"30-39",A781&lt;50,"40-49",A781&lt;60,"50-59",A781&gt;=60,"60+")</f>
        <v>30-39</v>
      </c>
      <c r="U782" t="str">
        <f t="shared" si="77"/>
        <v>Elevated</v>
      </c>
    </row>
    <row r="783" spans="1:21">
      <c r="A783">
        <v>58</v>
      </c>
      <c r="B783">
        <v>1</v>
      </c>
      <c r="C783">
        <v>0</v>
      </c>
      <c r="D783">
        <v>146</v>
      </c>
      <c r="E783">
        <v>218</v>
      </c>
      <c r="F783">
        <v>0</v>
      </c>
      <c r="G783">
        <v>1</v>
      </c>
      <c r="H783">
        <v>105</v>
      </c>
      <c r="I783">
        <v>0</v>
      </c>
      <c r="J783">
        <v>2</v>
      </c>
      <c r="K783">
        <v>1</v>
      </c>
      <c r="L783">
        <v>1</v>
      </c>
      <c r="M783">
        <v>3</v>
      </c>
      <c r="N783">
        <v>0</v>
      </c>
      <c r="O783" t="str">
        <f t="shared" si="72"/>
        <v>Male</v>
      </c>
      <c r="P783" t="str">
        <f t="shared" si="73"/>
        <v>No Disease</v>
      </c>
      <c r="Q783" t="str">
        <f t="shared" si="74"/>
        <v>Typical Angina</v>
      </c>
      <c r="R783" t="str">
        <f t="shared" si="75"/>
        <v>Normal</v>
      </c>
      <c r="S783" t="str">
        <f t="shared" si="76"/>
        <v>No</v>
      </c>
      <c r="T783" t="str" cm="1">
        <f t="array" ref="T783">_xlfn.IFS(A782&lt;30,"18-29",A782&lt;40,"30-39",A782&lt;50,"40-49",A782&lt;60,"50-59",A782&gt;=60,"60+")</f>
        <v>40-49</v>
      </c>
      <c r="U783" t="str">
        <f t="shared" si="77"/>
        <v>High (Stage 2)</v>
      </c>
    </row>
    <row r="784" spans="1:21">
      <c r="A784">
        <v>64</v>
      </c>
      <c r="B784">
        <v>0</v>
      </c>
      <c r="C784">
        <v>0</v>
      </c>
      <c r="D784">
        <v>130</v>
      </c>
      <c r="E784">
        <v>303</v>
      </c>
      <c r="F784">
        <v>0</v>
      </c>
      <c r="G784">
        <v>1</v>
      </c>
      <c r="H784">
        <v>122</v>
      </c>
      <c r="I784">
        <v>0</v>
      </c>
      <c r="J784">
        <v>2</v>
      </c>
      <c r="K784">
        <v>1</v>
      </c>
      <c r="L784">
        <v>2</v>
      </c>
      <c r="M784">
        <v>2</v>
      </c>
      <c r="N784">
        <v>1</v>
      </c>
      <c r="O784" t="str">
        <f t="shared" si="72"/>
        <v>Female</v>
      </c>
      <c r="P784" t="str">
        <f t="shared" si="73"/>
        <v>Heart Disease</v>
      </c>
      <c r="Q784" t="str">
        <f t="shared" si="74"/>
        <v>Typical Angina</v>
      </c>
      <c r="R784" t="str">
        <f t="shared" si="75"/>
        <v>Normal</v>
      </c>
      <c r="S784" t="str">
        <f t="shared" si="76"/>
        <v>No</v>
      </c>
      <c r="T784" t="str" cm="1">
        <f t="array" ref="T784">_xlfn.IFS(A783&lt;30,"18-29",A783&lt;40,"30-39",A783&lt;50,"40-49",A783&lt;60,"50-59",A783&gt;=60,"60+")</f>
        <v>50-59</v>
      </c>
      <c r="U784" t="str">
        <f t="shared" si="77"/>
        <v>High (Stage 1)</v>
      </c>
    </row>
    <row r="785" spans="1:21">
      <c r="A785">
        <v>56</v>
      </c>
      <c r="B785">
        <v>1</v>
      </c>
      <c r="C785">
        <v>1</v>
      </c>
      <c r="D785">
        <v>120</v>
      </c>
      <c r="E785">
        <v>240</v>
      </c>
      <c r="F785">
        <v>0</v>
      </c>
      <c r="G785">
        <v>1</v>
      </c>
      <c r="H785">
        <v>169</v>
      </c>
      <c r="I785">
        <v>0</v>
      </c>
      <c r="J785">
        <v>0</v>
      </c>
      <c r="K785">
        <v>0</v>
      </c>
      <c r="L785">
        <v>0</v>
      </c>
      <c r="M785">
        <v>2</v>
      </c>
      <c r="N785">
        <v>1</v>
      </c>
      <c r="O785" t="str">
        <f t="shared" si="72"/>
        <v>Male</v>
      </c>
      <c r="P785" t="str">
        <f t="shared" si="73"/>
        <v>Heart Disease</v>
      </c>
      <c r="Q785" t="str">
        <f t="shared" si="74"/>
        <v>Atypical Angina</v>
      </c>
      <c r="R785" t="str">
        <f t="shared" si="75"/>
        <v>Normal</v>
      </c>
      <c r="S785" t="str">
        <f t="shared" si="76"/>
        <v>No</v>
      </c>
      <c r="T785" t="str" cm="1">
        <f t="array" ref="T785">_xlfn.IFS(A784&lt;30,"18-29",A784&lt;40,"30-39",A784&lt;50,"40-49",A784&lt;60,"50-59",A784&gt;=60,"60+")</f>
        <v>60+</v>
      </c>
      <c r="U785" t="str">
        <f t="shared" si="77"/>
        <v>Elevated</v>
      </c>
    </row>
    <row r="786" spans="1:21">
      <c r="A786">
        <v>54</v>
      </c>
      <c r="B786">
        <v>1</v>
      </c>
      <c r="C786">
        <v>2</v>
      </c>
      <c r="D786">
        <v>150</v>
      </c>
      <c r="E786">
        <v>232</v>
      </c>
      <c r="F786">
        <v>0</v>
      </c>
      <c r="G786">
        <v>0</v>
      </c>
      <c r="H786">
        <v>165</v>
      </c>
      <c r="I786">
        <v>0</v>
      </c>
      <c r="J786">
        <v>1.6</v>
      </c>
      <c r="K786">
        <v>2</v>
      </c>
      <c r="L786">
        <v>0</v>
      </c>
      <c r="M786">
        <v>3</v>
      </c>
      <c r="N786">
        <v>1</v>
      </c>
      <c r="O786" t="str">
        <f t="shared" si="72"/>
        <v>Male</v>
      </c>
      <c r="P786" t="str">
        <f t="shared" si="73"/>
        <v>Heart Disease</v>
      </c>
      <c r="Q786" t="str">
        <f t="shared" si="74"/>
        <v>Non-Anginal Pain</v>
      </c>
      <c r="R786" t="str">
        <f t="shared" si="75"/>
        <v>Normal</v>
      </c>
      <c r="S786" t="str">
        <f t="shared" si="76"/>
        <v>No</v>
      </c>
      <c r="T786" t="str" cm="1">
        <f t="array" ref="T786">_xlfn.IFS(A785&lt;30,"18-29",A785&lt;40,"30-39",A785&lt;50,"40-49",A785&lt;60,"50-59",A785&gt;=60,"60+")</f>
        <v>50-59</v>
      </c>
      <c r="U786" t="str">
        <f t="shared" si="77"/>
        <v>High (Stage 2)</v>
      </c>
    </row>
    <row r="787" spans="1:21">
      <c r="A787">
        <v>55</v>
      </c>
      <c r="B787">
        <v>1</v>
      </c>
      <c r="C787">
        <v>0</v>
      </c>
      <c r="D787">
        <v>160</v>
      </c>
      <c r="E787">
        <v>289</v>
      </c>
      <c r="F787">
        <v>0</v>
      </c>
      <c r="G787">
        <v>0</v>
      </c>
      <c r="H787">
        <v>145</v>
      </c>
      <c r="I787">
        <v>1</v>
      </c>
      <c r="J787">
        <v>0.8</v>
      </c>
      <c r="K787">
        <v>1</v>
      </c>
      <c r="L787">
        <v>1</v>
      </c>
      <c r="M787">
        <v>3</v>
      </c>
      <c r="N787">
        <v>0</v>
      </c>
      <c r="O787" t="str">
        <f t="shared" si="72"/>
        <v>Male</v>
      </c>
      <c r="P787" t="str">
        <f t="shared" si="73"/>
        <v>No Disease</v>
      </c>
      <c r="Q787" t="str">
        <f t="shared" si="74"/>
        <v>Typical Angina</v>
      </c>
      <c r="R787" t="str">
        <f t="shared" si="75"/>
        <v>Normal</v>
      </c>
      <c r="S787" t="str">
        <f t="shared" si="76"/>
        <v>Yes</v>
      </c>
      <c r="T787" t="str" cm="1">
        <f t="array" ref="T787">_xlfn.IFS(A786&lt;30,"18-29",A786&lt;40,"30-39",A786&lt;50,"40-49",A786&lt;60,"50-59",A786&gt;=60,"60+")</f>
        <v>50-59</v>
      </c>
      <c r="U787" t="str">
        <f t="shared" si="77"/>
        <v>High (Stage 2)</v>
      </c>
    </row>
    <row r="788" spans="1:21">
      <c r="A788">
        <v>67</v>
      </c>
      <c r="B788">
        <v>1</v>
      </c>
      <c r="C788">
        <v>0</v>
      </c>
      <c r="D788">
        <v>125</v>
      </c>
      <c r="E788">
        <v>254</v>
      </c>
      <c r="F788">
        <v>1</v>
      </c>
      <c r="G788">
        <v>1</v>
      </c>
      <c r="H788">
        <v>163</v>
      </c>
      <c r="I788">
        <v>0</v>
      </c>
      <c r="J788">
        <v>0.2</v>
      </c>
      <c r="K788">
        <v>1</v>
      </c>
      <c r="L788">
        <v>2</v>
      </c>
      <c r="M788">
        <v>3</v>
      </c>
      <c r="N788">
        <v>0</v>
      </c>
      <c r="O788" t="str">
        <f t="shared" si="72"/>
        <v>Male</v>
      </c>
      <c r="P788" t="str">
        <f t="shared" si="73"/>
        <v>No Disease</v>
      </c>
      <c r="Q788" t="str">
        <f t="shared" si="74"/>
        <v>Typical Angina</v>
      </c>
      <c r="R788" t="str">
        <f t="shared" si="75"/>
        <v>High</v>
      </c>
      <c r="S788" t="str">
        <f t="shared" si="76"/>
        <v>No</v>
      </c>
      <c r="T788" t="str" cm="1">
        <f t="array" ref="T788">_xlfn.IFS(A787&lt;30,"18-29",A787&lt;40,"30-39",A787&lt;50,"40-49",A787&lt;60,"50-59",A787&gt;=60,"60+")</f>
        <v>50-59</v>
      </c>
      <c r="U788" t="str">
        <f t="shared" si="77"/>
        <v>Elevated</v>
      </c>
    </row>
    <row r="789" spans="1:21">
      <c r="A789">
        <v>51</v>
      </c>
      <c r="B789">
        <v>1</v>
      </c>
      <c r="C789">
        <v>0</v>
      </c>
      <c r="D789">
        <v>140</v>
      </c>
      <c r="E789">
        <v>298</v>
      </c>
      <c r="F789">
        <v>0</v>
      </c>
      <c r="G789">
        <v>1</v>
      </c>
      <c r="H789">
        <v>122</v>
      </c>
      <c r="I789">
        <v>1</v>
      </c>
      <c r="J789">
        <v>4.2</v>
      </c>
      <c r="K789">
        <v>1</v>
      </c>
      <c r="L789">
        <v>3</v>
      </c>
      <c r="M789">
        <v>3</v>
      </c>
      <c r="N789">
        <v>0</v>
      </c>
      <c r="O789" t="str">
        <f t="shared" si="72"/>
        <v>Male</v>
      </c>
      <c r="P789" t="str">
        <f t="shared" si="73"/>
        <v>No Disease</v>
      </c>
      <c r="Q789" t="str">
        <f t="shared" si="74"/>
        <v>Typical Angina</v>
      </c>
      <c r="R789" t="str">
        <f t="shared" si="75"/>
        <v>Normal</v>
      </c>
      <c r="S789" t="str">
        <f t="shared" si="76"/>
        <v>Yes</v>
      </c>
      <c r="T789" t="str" cm="1">
        <f t="array" ref="T789">_xlfn.IFS(A788&lt;30,"18-29",A788&lt;40,"30-39",A788&lt;50,"40-49",A788&lt;60,"50-59",A788&gt;=60,"60+")</f>
        <v>60+</v>
      </c>
      <c r="U789" t="str">
        <f t="shared" si="77"/>
        <v>High (Stage 2)</v>
      </c>
    </row>
    <row r="790" spans="1:21">
      <c r="A790">
        <v>62</v>
      </c>
      <c r="B790">
        <v>0</v>
      </c>
      <c r="C790">
        <v>0</v>
      </c>
      <c r="D790">
        <v>138</v>
      </c>
      <c r="E790">
        <v>294</v>
      </c>
      <c r="F790">
        <v>1</v>
      </c>
      <c r="G790">
        <v>1</v>
      </c>
      <c r="H790">
        <v>106</v>
      </c>
      <c r="I790">
        <v>0</v>
      </c>
      <c r="J790">
        <v>1.9</v>
      </c>
      <c r="K790">
        <v>1</v>
      </c>
      <c r="L790">
        <v>3</v>
      </c>
      <c r="M790">
        <v>2</v>
      </c>
      <c r="N790">
        <v>0</v>
      </c>
      <c r="O790" t="str">
        <f t="shared" si="72"/>
        <v>Female</v>
      </c>
      <c r="P790" t="str">
        <f t="shared" si="73"/>
        <v>No Disease</v>
      </c>
      <c r="Q790" t="str">
        <f t="shared" si="74"/>
        <v>Typical Angina</v>
      </c>
      <c r="R790" t="str">
        <f t="shared" si="75"/>
        <v>High</v>
      </c>
      <c r="S790" t="str">
        <f t="shared" si="76"/>
        <v>No</v>
      </c>
      <c r="T790" t="str" cm="1">
        <f t="array" ref="T790">_xlfn.IFS(A789&lt;30,"18-29",A789&lt;40,"30-39",A789&lt;50,"40-49",A789&lt;60,"50-59",A789&gt;=60,"60+")</f>
        <v>50-59</v>
      </c>
      <c r="U790" t="str">
        <f t="shared" si="77"/>
        <v>High (Stage 1)</v>
      </c>
    </row>
    <row r="791" spans="1:21">
      <c r="A791">
        <v>62</v>
      </c>
      <c r="B791">
        <v>1</v>
      </c>
      <c r="C791">
        <v>1</v>
      </c>
      <c r="D791">
        <v>120</v>
      </c>
      <c r="E791">
        <v>281</v>
      </c>
      <c r="F791">
        <v>0</v>
      </c>
      <c r="G791">
        <v>0</v>
      </c>
      <c r="H791">
        <v>103</v>
      </c>
      <c r="I791">
        <v>0</v>
      </c>
      <c r="J791">
        <v>1.4</v>
      </c>
      <c r="K791">
        <v>1</v>
      </c>
      <c r="L791">
        <v>1</v>
      </c>
      <c r="M791">
        <v>3</v>
      </c>
      <c r="N791">
        <v>0</v>
      </c>
      <c r="O791" t="str">
        <f t="shared" si="72"/>
        <v>Male</v>
      </c>
      <c r="P791" t="str">
        <f t="shared" si="73"/>
        <v>No Disease</v>
      </c>
      <c r="Q791" t="str">
        <f t="shared" si="74"/>
        <v>Atypical Angina</v>
      </c>
      <c r="R791" t="str">
        <f t="shared" si="75"/>
        <v>Normal</v>
      </c>
      <c r="S791" t="str">
        <f t="shared" si="76"/>
        <v>No</v>
      </c>
      <c r="T791" t="str" cm="1">
        <f t="array" ref="T791">_xlfn.IFS(A790&lt;30,"18-29",A790&lt;40,"30-39",A790&lt;50,"40-49",A790&lt;60,"50-59",A790&gt;=60,"60+")</f>
        <v>60+</v>
      </c>
      <c r="U791" t="str">
        <f t="shared" si="77"/>
        <v>Elevated</v>
      </c>
    </row>
    <row r="792" spans="1:21">
      <c r="A792">
        <v>54</v>
      </c>
      <c r="B792">
        <v>1</v>
      </c>
      <c r="C792">
        <v>0</v>
      </c>
      <c r="D792">
        <v>110</v>
      </c>
      <c r="E792">
        <v>239</v>
      </c>
      <c r="F792">
        <v>0</v>
      </c>
      <c r="G792">
        <v>1</v>
      </c>
      <c r="H792">
        <v>126</v>
      </c>
      <c r="I792">
        <v>1</v>
      </c>
      <c r="J792">
        <v>2.8</v>
      </c>
      <c r="K792">
        <v>1</v>
      </c>
      <c r="L792">
        <v>1</v>
      </c>
      <c r="M792">
        <v>3</v>
      </c>
      <c r="N792">
        <v>0</v>
      </c>
      <c r="O792" t="str">
        <f t="shared" si="72"/>
        <v>Male</v>
      </c>
      <c r="P792" t="str">
        <f t="shared" si="73"/>
        <v>No Disease</v>
      </c>
      <c r="Q792" t="str">
        <f t="shared" si="74"/>
        <v>Typical Angina</v>
      </c>
      <c r="R792" t="str">
        <f t="shared" si="75"/>
        <v>Normal</v>
      </c>
      <c r="S792" t="str">
        <f t="shared" si="76"/>
        <v>Yes</v>
      </c>
      <c r="T792" t="str" cm="1">
        <f t="array" ref="T792">_xlfn.IFS(A791&lt;30,"18-29",A791&lt;40,"30-39",A791&lt;50,"40-49",A791&lt;60,"50-59",A791&gt;=60,"60+")</f>
        <v>60+</v>
      </c>
      <c r="U792" t="str">
        <f t="shared" si="77"/>
        <v>Normal</v>
      </c>
    </row>
    <row r="793" spans="1:21">
      <c r="A793">
        <v>54</v>
      </c>
      <c r="B793">
        <v>1</v>
      </c>
      <c r="C793">
        <v>0</v>
      </c>
      <c r="D793">
        <v>110</v>
      </c>
      <c r="E793">
        <v>239</v>
      </c>
      <c r="F793">
        <v>0</v>
      </c>
      <c r="G793">
        <v>1</v>
      </c>
      <c r="H793">
        <v>126</v>
      </c>
      <c r="I793">
        <v>1</v>
      </c>
      <c r="J793">
        <v>2.8</v>
      </c>
      <c r="K793">
        <v>1</v>
      </c>
      <c r="L793">
        <v>1</v>
      </c>
      <c r="M793">
        <v>3</v>
      </c>
      <c r="N793">
        <v>0</v>
      </c>
      <c r="O793" t="str">
        <f t="shared" si="72"/>
        <v>Male</v>
      </c>
      <c r="P793" t="str">
        <f t="shared" si="73"/>
        <v>No Disease</v>
      </c>
      <c r="Q793" t="str">
        <f t="shared" si="74"/>
        <v>Typical Angina</v>
      </c>
      <c r="R793" t="str">
        <f t="shared" si="75"/>
        <v>Normal</v>
      </c>
      <c r="S793" t="str">
        <f t="shared" si="76"/>
        <v>Yes</v>
      </c>
      <c r="T793" t="str" cm="1">
        <f t="array" ref="T793">_xlfn.IFS(A792&lt;30,"18-29",A792&lt;40,"30-39",A792&lt;50,"40-49",A792&lt;60,"50-59",A792&gt;=60,"60+")</f>
        <v>50-59</v>
      </c>
      <c r="U793" t="str">
        <f t="shared" si="77"/>
        <v>Normal</v>
      </c>
    </row>
    <row r="794" spans="1:21">
      <c r="A794">
        <v>68</v>
      </c>
      <c r="B794">
        <v>1</v>
      </c>
      <c r="C794">
        <v>0</v>
      </c>
      <c r="D794">
        <v>144</v>
      </c>
      <c r="E794">
        <v>193</v>
      </c>
      <c r="F794">
        <v>1</v>
      </c>
      <c r="G794">
        <v>1</v>
      </c>
      <c r="H794">
        <v>141</v>
      </c>
      <c r="I794">
        <v>0</v>
      </c>
      <c r="J794">
        <v>3.4</v>
      </c>
      <c r="K794">
        <v>1</v>
      </c>
      <c r="L794">
        <v>2</v>
      </c>
      <c r="M794">
        <v>3</v>
      </c>
      <c r="N794">
        <v>0</v>
      </c>
      <c r="O794" t="str">
        <f t="shared" si="72"/>
        <v>Male</v>
      </c>
      <c r="P794" t="str">
        <f t="shared" si="73"/>
        <v>No Disease</v>
      </c>
      <c r="Q794" t="str">
        <f t="shared" si="74"/>
        <v>Typical Angina</v>
      </c>
      <c r="R794" t="str">
        <f t="shared" si="75"/>
        <v>High</v>
      </c>
      <c r="S794" t="str">
        <f t="shared" si="76"/>
        <v>No</v>
      </c>
      <c r="T794" t="str" cm="1">
        <f t="array" ref="T794">_xlfn.IFS(A793&lt;30,"18-29",A793&lt;40,"30-39",A793&lt;50,"40-49",A793&lt;60,"50-59",A793&gt;=60,"60+")</f>
        <v>50-59</v>
      </c>
      <c r="U794" t="str">
        <f t="shared" si="77"/>
        <v>High (Stage 2)</v>
      </c>
    </row>
    <row r="795" spans="1:21">
      <c r="A795">
        <v>60</v>
      </c>
      <c r="B795">
        <v>0</v>
      </c>
      <c r="C795">
        <v>2</v>
      </c>
      <c r="D795">
        <v>120</v>
      </c>
      <c r="E795">
        <v>178</v>
      </c>
      <c r="F795">
        <v>1</v>
      </c>
      <c r="G795">
        <v>1</v>
      </c>
      <c r="H795">
        <v>96</v>
      </c>
      <c r="I795">
        <v>0</v>
      </c>
      <c r="J795">
        <v>0</v>
      </c>
      <c r="K795">
        <v>2</v>
      </c>
      <c r="L795">
        <v>0</v>
      </c>
      <c r="M795">
        <v>2</v>
      </c>
      <c r="N795">
        <v>1</v>
      </c>
      <c r="O795" t="str">
        <f t="shared" si="72"/>
        <v>Female</v>
      </c>
      <c r="P795" t="str">
        <f t="shared" si="73"/>
        <v>Heart Disease</v>
      </c>
      <c r="Q795" t="str">
        <f t="shared" si="74"/>
        <v>Non-Anginal Pain</v>
      </c>
      <c r="R795" t="str">
        <f t="shared" si="75"/>
        <v>High</v>
      </c>
      <c r="S795" t="str">
        <f t="shared" si="76"/>
        <v>No</v>
      </c>
      <c r="T795" t="str" cm="1">
        <f t="array" ref="T795">_xlfn.IFS(A794&lt;30,"18-29",A794&lt;40,"30-39",A794&lt;50,"40-49",A794&lt;60,"50-59",A794&gt;=60,"60+")</f>
        <v>60+</v>
      </c>
      <c r="U795" t="str">
        <f t="shared" si="77"/>
        <v>Elevated</v>
      </c>
    </row>
    <row r="796" spans="1:21">
      <c r="A796">
        <v>61</v>
      </c>
      <c r="B796">
        <v>1</v>
      </c>
      <c r="C796">
        <v>3</v>
      </c>
      <c r="D796">
        <v>134</v>
      </c>
      <c r="E796">
        <v>234</v>
      </c>
      <c r="F796">
        <v>0</v>
      </c>
      <c r="G796">
        <v>1</v>
      </c>
      <c r="H796">
        <v>145</v>
      </c>
      <c r="I796">
        <v>0</v>
      </c>
      <c r="J796">
        <v>2.6</v>
      </c>
      <c r="K796">
        <v>1</v>
      </c>
      <c r="L796">
        <v>2</v>
      </c>
      <c r="M796">
        <v>2</v>
      </c>
      <c r="N796">
        <v>0</v>
      </c>
      <c r="O796" t="str">
        <f t="shared" si="72"/>
        <v>Male</v>
      </c>
      <c r="P796" t="str">
        <f t="shared" si="73"/>
        <v>No Disease</v>
      </c>
      <c r="Q796" t="str">
        <f t="shared" si="74"/>
        <v>Asymptomatic</v>
      </c>
      <c r="R796" t="str">
        <f t="shared" si="75"/>
        <v>Normal</v>
      </c>
      <c r="S796" t="str">
        <f t="shared" si="76"/>
        <v>No</v>
      </c>
      <c r="T796" t="str" cm="1">
        <f t="array" ref="T796">_xlfn.IFS(A795&lt;30,"18-29",A795&lt;40,"30-39",A795&lt;50,"40-49",A795&lt;60,"50-59",A795&gt;=60,"60+")</f>
        <v>60+</v>
      </c>
      <c r="U796" t="str">
        <f t="shared" si="77"/>
        <v>High (Stage 1)</v>
      </c>
    </row>
    <row r="797" spans="1:21">
      <c r="A797">
        <v>62</v>
      </c>
      <c r="B797">
        <v>1</v>
      </c>
      <c r="C797">
        <v>1</v>
      </c>
      <c r="D797">
        <v>128</v>
      </c>
      <c r="E797">
        <v>208</v>
      </c>
      <c r="F797">
        <v>1</v>
      </c>
      <c r="G797">
        <v>0</v>
      </c>
      <c r="H797">
        <v>140</v>
      </c>
      <c r="I797">
        <v>0</v>
      </c>
      <c r="J797">
        <v>0</v>
      </c>
      <c r="K797">
        <v>2</v>
      </c>
      <c r="L797">
        <v>0</v>
      </c>
      <c r="M797">
        <v>2</v>
      </c>
      <c r="N797">
        <v>1</v>
      </c>
      <c r="O797" t="str">
        <f t="shared" si="72"/>
        <v>Male</v>
      </c>
      <c r="P797" t="str">
        <f t="shared" si="73"/>
        <v>Heart Disease</v>
      </c>
      <c r="Q797" t="str">
        <f t="shared" si="74"/>
        <v>Atypical Angina</v>
      </c>
      <c r="R797" t="str">
        <f t="shared" si="75"/>
        <v>High</v>
      </c>
      <c r="S797" t="str">
        <f t="shared" si="76"/>
        <v>No</v>
      </c>
      <c r="T797" t="str" cm="1">
        <f t="array" ref="T797">_xlfn.IFS(A796&lt;30,"18-29",A796&lt;40,"30-39",A796&lt;50,"40-49",A796&lt;60,"50-59",A796&gt;=60,"60+")</f>
        <v>60+</v>
      </c>
      <c r="U797" t="str">
        <f t="shared" si="77"/>
        <v>Elevated</v>
      </c>
    </row>
    <row r="798" spans="1:21">
      <c r="A798">
        <v>41</v>
      </c>
      <c r="B798">
        <v>1</v>
      </c>
      <c r="C798">
        <v>1</v>
      </c>
      <c r="D798">
        <v>135</v>
      </c>
      <c r="E798">
        <v>203</v>
      </c>
      <c r="F798">
        <v>0</v>
      </c>
      <c r="G798">
        <v>1</v>
      </c>
      <c r="H798">
        <v>132</v>
      </c>
      <c r="I798">
        <v>0</v>
      </c>
      <c r="J798">
        <v>0</v>
      </c>
      <c r="K798">
        <v>1</v>
      </c>
      <c r="L798">
        <v>0</v>
      </c>
      <c r="M798">
        <v>1</v>
      </c>
      <c r="N798">
        <v>1</v>
      </c>
      <c r="O798" t="str">
        <f t="shared" si="72"/>
        <v>Male</v>
      </c>
      <c r="P798" t="str">
        <f t="shared" si="73"/>
        <v>Heart Disease</v>
      </c>
      <c r="Q798" t="str">
        <f t="shared" si="74"/>
        <v>Atypical Angina</v>
      </c>
      <c r="R798" t="str">
        <f t="shared" si="75"/>
        <v>Normal</v>
      </c>
      <c r="S798" t="str">
        <f t="shared" si="76"/>
        <v>No</v>
      </c>
      <c r="T798" t="str" cm="1">
        <f t="array" ref="T798">_xlfn.IFS(A797&lt;30,"18-29",A797&lt;40,"30-39",A797&lt;50,"40-49",A797&lt;60,"50-59",A797&gt;=60,"60+")</f>
        <v>60+</v>
      </c>
      <c r="U798" t="str">
        <f t="shared" si="77"/>
        <v>High (Stage 1)</v>
      </c>
    </row>
    <row r="799" spans="1:21">
      <c r="A799">
        <v>65</v>
      </c>
      <c r="B799">
        <v>0</v>
      </c>
      <c r="C799">
        <v>0</v>
      </c>
      <c r="D799">
        <v>150</v>
      </c>
      <c r="E799">
        <v>225</v>
      </c>
      <c r="F799">
        <v>0</v>
      </c>
      <c r="G799">
        <v>0</v>
      </c>
      <c r="H799">
        <v>114</v>
      </c>
      <c r="I799">
        <v>0</v>
      </c>
      <c r="J799">
        <v>1</v>
      </c>
      <c r="K799">
        <v>1</v>
      </c>
      <c r="L799">
        <v>3</v>
      </c>
      <c r="M799">
        <v>3</v>
      </c>
      <c r="N799">
        <v>0</v>
      </c>
      <c r="O799" t="str">
        <f t="shared" si="72"/>
        <v>Female</v>
      </c>
      <c r="P799" t="str">
        <f t="shared" si="73"/>
        <v>No Disease</v>
      </c>
      <c r="Q799" t="str">
        <f t="shared" si="74"/>
        <v>Typical Angina</v>
      </c>
      <c r="R799" t="str">
        <f t="shared" si="75"/>
        <v>Normal</v>
      </c>
      <c r="S799" t="str">
        <f t="shared" si="76"/>
        <v>No</v>
      </c>
      <c r="T799" t="str" cm="1">
        <f t="array" ref="T799">_xlfn.IFS(A798&lt;30,"18-29",A798&lt;40,"30-39",A798&lt;50,"40-49",A798&lt;60,"50-59",A798&gt;=60,"60+")</f>
        <v>40-49</v>
      </c>
      <c r="U799" t="str">
        <f t="shared" si="77"/>
        <v>High (Stage 2)</v>
      </c>
    </row>
    <row r="800" spans="1:21">
      <c r="A800">
        <v>59</v>
      </c>
      <c r="B800">
        <v>1</v>
      </c>
      <c r="C800">
        <v>3</v>
      </c>
      <c r="D800">
        <v>170</v>
      </c>
      <c r="E800">
        <v>288</v>
      </c>
      <c r="F800">
        <v>0</v>
      </c>
      <c r="G800">
        <v>0</v>
      </c>
      <c r="H800">
        <v>159</v>
      </c>
      <c r="I800">
        <v>0</v>
      </c>
      <c r="J800">
        <v>0.2</v>
      </c>
      <c r="K800">
        <v>1</v>
      </c>
      <c r="L800">
        <v>0</v>
      </c>
      <c r="M800">
        <v>3</v>
      </c>
      <c r="N800">
        <v>0</v>
      </c>
      <c r="O800" t="str">
        <f t="shared" si="72"/>
        <v>Male</v>
      </c>
      <c r="P800" t="str">
        <f t="shared" si="73"/>
        <v>No Disease</v>
      </c>
      <c r="Q800" t="str">
        <f t="shared" si="74"/>
        <v>Asymptomatic</v>
      </c>
      <c r="R800" t="str">
        <f t="shared" si="75"/>
        <v>Normal</v>
      </c>
      <c r="S800" t="str">
        <f t="shared" si="76"/>
        <v>No</v>
      </c>
      <c r="T800" t="str" cm="1">
        <f t="array" ref="T800">_xlfn.IFS(A799&lt;30,"18-29",A799&lt;40,"30-39",A799&lt;50,"40-49",A799&lt;60,"50-59",A799&gt;=60,"60+")</f>
        <v>60+</v>
      </c>
      <c r="U800" t="str">
        <f t="shared" si="77"/>
        <v>High (Stage 2)</v>
      </c>
    </row>
    <row r="801" spans="1:21">
      <c r="A801">
        <v>43</v>
      </c>
      <c r="B801">
        <v>1</v>
      </c>
      <c r="C801">
        <v>0</v>
      </c>
      <c r="D801">
        <v>115</v>
      </c>
      <c r="E801">
        <v>303</v>
      </c>
      <c r="F801">
        <v>0</v>
      </c>
      <c r="G801">
        <v>1</v>
      </c>
      <c r="H801">
        <v>181</v>
      </c>
      <c r="I801">
        <v>0</v>
      </c>
      <c r="J801">
        <v>1.2</v>
      </c>
      <c r="K801">
        <v>1</v>
      </c>
      <c r="L801">
        <v>0</v>
      </c>
      <c r="M801">
        <v>2</v>
      </c>
      <c r="N801">
        <v>1</v>
      </c>
      <c r="O801" t="str">
        <f t="shared" si="72"/>
        <v>Male</v>
      </c>
      <c r="P801" t="str">
        <f t="shared" si="73"/>
        <v>Heart Disease</v>
      </c>
      <c r="Q801" t="str">
        <f t="shared" si="74"/>
        <v>Typical Angina</v>
      </c>
      <c r="R801" t="str">
        <f t="shared" si="75"/>
        <v>Normal</v>
      </c>
      <c r="S801" t="str">
        <f t="shared" si="76"/>
        <v>No</v>
      </c>
      <c r="T801" t="str" cm="1">
        <f t="array" ref="T801">_xlfn.IFS(A800&lt;30,"18-29",A800&lt;40,"30-39",A800&lt;50,"40-49",A800&lt;60,"50-59",A800&gt;=60,"60+")</f>
        <v>50-59</v>
      </c>
      <c r="U801" t="str">
        <f t="shared" si="77"/>
        <v>Normal</v>
      </c>
    </row>
    <row r="802" spans="1:21">
      <c r="A802">
        <v>67</v>
      </c>
      <c r="B802">
        <v>1</v>
      </c>
      <c r="C802">
        <v>0</v>
      </c>
      <c r="D802">
        <v>120</v>
      </c>
      <c r="E802">
        <v>229</v>
      </c>
      <c r="F802">
        <v>0</v>
      </c>
      <c r="G802">
        <v>0</v>
      </c>
      <c r="H802">
        <v>129</v>
      </c>
      <c r="I802">
        <v>1</v>
      </c>
      <c r="J802">
        <v>2.6</v>
      </c>
      <c r="K802">
        <v>1</v>
      </c>
      <c r="L802">
        <v>2</v>
      </c>
      <c r="M802">
        <v>3</v>
      </c>
      <c r="N802">
        <v>0</v>
      </c>
      <c r="O802" t="str">
        <f t="shared" si="72"/>
        <v>Male</v>
      </c>
      <c r="P802" t="str">
        <f t="shared" si="73"/>
        <v>No Disease</v>
      </c>
      <c r="Q802" t="str">
        <f t="shared" si="74"/>
        <v>Typical Angina</v>
      </c>
      <c r="R802" t="str">
        <f t="shared" si="75"/>
        <v>Normal</v>
      </c>
      <c r="S802" t="str">
        <f t="shared" si="76"/>
        <v>Yes</v>
      </c>
      <c r="T802" t="str" cm="1">
        <f t="array" ref="T802">_xlfn.IFS(A801&lt;30,"18-29",A801&lt;40,"30-39",A801&lt;50,"40-49",A801&lt;60,"50-59",A801&gt;=60,"60+")</f>
        <v>40-49</v>
      </c>
      <c r="U802" t="str">
        <f t="shared" si="77"/>
        <v>Elevated</v>
      </c>
    </row>
    <row r="803" spans="1:21">
      <c r="A803">
        <v>63</v>
      </c>
      <c r="B803">
        <v>1</v>
      </c>
      <c r="C803">
        <v>3</v>
      </c>
      <c r="D803">
        <v>145</v>
      </c>
      <c r="E803">
        <v>233</v>
      </c>
      <c r="F803">
        <v>1</v>
      </c>
      <c r="G803">
        <v>0</v>
      </c>
      <c r="H803">
        <v>150</v>
      </c>
      <c r="I803">
        <v>0</v>
      </c>
      <c r="J803">
        <v>2.2999999999999998</v>
      </c>
      <c r="K803">
        <v>0</v>
      </c>
      <c r="L803">
        <v>0</v>
      </c>
      <c r="M803">
        <v>1</v>
      </c>
      <c r="N803">
        <v>1</v>
      </c>
      <c r="O803" t="str">
        <f t="shared" si="72"/>
        <v>Male</v>
      </c>
      <c r="P803" t="str">
        <f t="shared" si="73"/>
        <v>Heart Disease</v>
      </c>
      <c r="Q803" t="str">
        <f t="shared" si="74"/>
        <v>Asymptomatic</v>
      </c>
      <c r="R803" t="str">
        <f t="shared" si="75"/>
        <v>High</v>
      </c>
      <c r="S803" t="str">
        <f t="shared" si="76"/>
        <v>No</v>
      </c>
      <c r="T803" t="str" cm="1">
        <f t="array" ref="T803">_xlfn.IFS(A802&lt;30,"18-29",A802&lt;40,"30-39",A802&lt;50,"40-49",A802&lt;60,"50-59",A802&gt;=60,"60+")</f>
        <v>60+</v>
      </c>
      <c r="U803" t="str">
        <f t="shared" si="77"/>
        <v>High (Stage 2)</v>
      </c>
    </row>
    <row r="804" spans="1:21">
      <c r="A804">
        <v>63</v>
      </c>
      <c r="B804">
        <v>0</v>
      </c>
      <c r="C804">
        <v>0</v>
      </c>
      <c r="D804">
        <v>124</v>
      </c>
      <c r="E804">
        <v>197</v>
      </c>
      <c r="F804">
        <v>0</v>
      </c>
      <c r="G804">
        <v>1</v>
      </c>
      <c r="H804">
        <v>136</v>
      </c>
      <c r="I804">
        <v>1</v>
      </c>
      <c r="J804">
        <v>0</v>
      </c>
      <c r="K804">
        <v>1</v>
      </c>
      <c r="L804">
        <v>0</v>
      </c>
      <c r="M804">
        <v>2</v>
      </c>
      <c r="N804">
        <v>0</v>
      </c>
      <c r="O804" t="str">
        <f t="shared" si="72"/>
        <v>Female</v>
      </c>
      <c r="P804" t="str">
        <f t="shared" si="73"/>
        <v>No Disease</v>
      </c>
      <c r="Q804" t="str">
        <f t="shared" si="74"/>
        <v>Typical Angina</v>
      </c>
      <c r="R804" t="str">
        <f t="shared" si="75"/>
        <v>Normal</v>
      </c>
      <c r="S804" t="str">
        <f t="shared" si="76"/>
        <v>Yes</v>
      </c>
      <c r="T804" t="str" cm="1">
        <f t="array" ref="T804">_xlfn.IFS(A803&lt;30,"18-29",A803&lt;40,"30-39",A803&lt;50,"40-49",A803&lt;60,"50-59",A803&gt;=60,"60+")</f>
        <v>60+</v>
      </c>
      <c r="U804" t="str">
        <f t="shared" si="77"/>
        <v>Elevated</v>
      </c>
    </row>
    <row r="805" spans="1:21">
      <c r="A805">
        <v>52</v>
      </c>
      <c r="B805">
        <v>1</v>
      </c>
      <c r="C805">
        <v>0</v>
      </c>
      <c r="D805">
        <v>112</v>
      </c>
      <c r="E805">
        <v>230</v>
      </c>
      <c r="F805">
        <v>0</v>
      </c>
      <c r="G805">
        <v>1</v>
      </c>
      <c r="H805">
        <v>160</v>
      </c>
      <c r="I805">
        <v>0</v>
      </c>
      <c r="J805">
        <v>0</v>
      </c>
      <c r="K805">
        <v>2</v>
      </c>
      <c r="L805">
        <v>1</v>
      </c>
      <c r="M805">
        <v>2</v>
      </c>
      <c r="N805">
        <v>0</v>
      </c>
      <c r="O805" t="str">
        <f t="shared" si="72"/>
        <v>Male</v>
      </c>
      <c r="P805" t="str">
        <f t="shared" si="73"/>
        <v>No Disease</v>
      </c>
      <c r="Q805" t="str">
        <f t="shared" si="74"/>
        <v>Typical Angina</v>
      </c>
      <c r="R805" t="str">
        <f t="shared" si="75"/>
        <v>Normal</v>
      </c>
      <c r="S805" t="str">
        <f t="shared" si="76"/>
        <v>No</v>
      </c>
      <c r="T805" t="str" cm="1">
        <f t="array" ref="T805">_xlfn.IFS(A804&lt;30,"18-29",A804&lt;40,"30-39",A804&lt;50,"40-49",A804&lt;60,"50-59",A804&gt;=60,"60+")</f>
        <v>60+</v>
      </c>
      <c r="U805" t="str">
        <f t="shared" si="77"/>
        <v>Normal</v>
      </c>
    </row>
    <row r="806" spans="1:21">
      <c r="A806">
        <v>58</v>
      </c>
      <c r="B806">
        <v>0</v>
      </c>
      <c r="C806">
        <v>0</v>
      </c>
      <c r="D806">
        <v>130</v>
      </c>
      <c r="E806">
        <v>197</v>
      </c>
      <c r="F806">
        <v>0</v>
      </c>
      <c r="G806">
        <v>1</v>
      </c>
      <c r="H806">
        <v>131</v>
      </c>
      <c r="I806">
        <v>0</v>
      </c>
      <c r="J806">
        <v>0.6</v>
      </c>
      <c r="K806">
        <v>1</v>
      </c>
      <c r="L806">
        <v>0</v>
      </c>
      <c r="M806">
        <v>2</v>
      </c>
      <c r="N806">
        <v>1</v>
      </c>
      <c r="O806" t="str">
        <f t="shared" si="72"/>
        <v>Female</v>
      </c>
      <c r="P806" t="str">
        <f t="shared" si="73"/>
        <v>Heart Disease</v>
      </c>
      <c r="Q806" t="str">
        <f t="shared" si="74"/>
        <v>Typical Angina</v>
      </c>
      <c r="R806" t="str">
        <f t="shared" si="75"/>
        <v>Normal</v>
      </c>
      <c r="S806" t="str">
        <f t="shared" si="76"/>
        <v>No</v>
      </c>
      <c r="T806" t="str" cm="1">
        <f t="array" ref="T806">_xlfn.IFS(A805&lt;30,"18-29",A805&lt;40,"30-39",A805&lt;50,"40-49",A805&lt;60,"50-59",A805&gt;=60,"60+")</f>
        <v>50-59</v>
      </c>
      <c r="U806" t="str">
        <f t="shared" si="77"/>
        <v>High (Stage 1)</v>
      </c>
    </row>
    <row r="807" spans="1:21">
      <c r="A807">
        <v>53</v>
      </c>
      <c r="B807">
        <v>1</v>
      </c>
      <c r="C807">
        <v>0</v>
      </c>
      <c r="D807">
        <v>142</v>
      </c>
      <c r="E807">
        <v>226</v>
      </c>
      <c r="F807">
        <v>0</v>
      </c>
      <c r="G807">
        <v>0</v>
      </c>
      <c r="H807">
        <v>111</v>
      </c>
      <c r="I807">
        <v>1</v>
      </c>
      <c r="J807">
        <v>0</v>
      </c>
      <c r="K807">
        <v>2</v>
      </c>
      <c r="L807">
        <v>0</v>
      </c>
      <c r="M807">
        <v>3</v>
      </c>
      <c r="N807">
        <v>1</v>
      </c>
      <c r="O807" t="str">
        <f t="shared" si="72"/>
        <v>Male</v>
      </c>
      <c r="P807" t="str">
        <f t="shared" si="73"/>
        <v>Heart Disease</v>
      </c>
      <c r="Q807" t="str">
        <f t="shared" si="74"/>
        <v>Typical Angina</v>
      </c>
      <c r="R807" t="str">
        <f t="shared" si="75"/>
        <v>Normal</v>
      </c>
      <c r="S807" t="str">
        <f t="shared" si="76"/>
        <v>Yes</v>
      </c>
      <c r="T807" t="str" cm="1">
        <f t="array" ref="T807">_xlfn.IFS(A806&lt;30,"18-29",A806&lt;40,"30-39",A806&lt;50,"40-49",A806&lt;60,"50-59",A806&gt;=60,"60+")</f>
        <v>50-59</v>
      </c>
      <c r="U807" t="str">
        <f t="shared" si="77"/>
        <v>High (Stage 2)</v>
      </c>
    </row>
    <row r="808" spans="1:21">
      <c r="A808">
        <v>57</v>
      </c>
      <c r="B808">
        <v>1</v>
      </c>
      <c r="C808">
        <v>0</v>
      </c>
      <c r="D808">
        <v>150</v>
      </c>
      <c r="E808">
        <v>276</v>
      </c>
      <c r="F808">
        <v>0</v>
      </c>
      <c r="G808">
        <v>0</v>
      </c>
      <c r="H808">
        <v>112</v>
      </c>
      <c r="I808">
        <v>1</v>
      </c>
      <c r="J808">
        <v>0.6</v>
      </c>
      <c r="K808">
        <v>1</v>
      </c>
      <c r="L808">
        <v>1</v>
      </c>
      <c r="M808">
        <v>1</v>
      </c>
      <c r="N808">
        <v>0</v>
      </c>
      <c r="O808" t="str">
        <f t="shared" si="72"/>
        <v>Male</v>
      </c>
      <c r="P808" t="str">
        <f t="shared" si="73"/>
        <v>No Disease</v>
      </c>
      <c r="Q808" t="str">
        <f t="shared" si="74"/>
        <v>Typical Angina</v>
      </c>
      <c r="R808" t="str">
        <f t="shared" si="75"/>
        <v>Normal</v>
      </c>
      <c r="S808" t="str">
        <f t="shared" si="76"/>
        <v>Yes</v>
      </c>
      <c r="T808" t="str" cm="1">
        <f t="array" ref="T808">_xlfn.IFS(A807&lt;30,"18-29",A807&lt;40,"30-39",A807&lt;50,"40-49",A807&lt;60,"50-59",A807&gt;=60,"60+")</f>
        <v>50-59</v>
      </c>
      <c r="U808" t="str">
        <f t="shared" si="77"/>
        <v>High (Stage 2)</v>
      </c>
    </row>
    <row r="809" spans="1:21">
      <c r="A809">
        <v>44</v>
      </c>
      <c r="B809">
        <v>1</v>
      </c>
      <c r="C809">
        <v>2</v>
      </c>
      <c r="D809">
        <v>130</v>
      </c>
      <c r="E809">
        <v>233</v>
      </c>
      <c r="F809">
        <v>0</v>
      </c>
      <c r="G809">
        <v>1</v>
      </c>
      <c r="H809">
        <v>179</v>
      </c>
      <c r="I809">
        <v>1</v>
      </c>
      <c r="J809">
        <v>0.4</v>
      </c>
      <c r="K809">
        <v>2</v>
      </c>
      <c r="L809">
        <v>0</v>
      </c>
      <c r="M809">
        <v>2</v>
      </c>
      <c r="N809">
        <v>1</v>
      </c>
      <c r="O809" t="str">
        <f t="shared" si="72"/>
        <v>Male</v>
      </c>
      <c r="P809" t="str">
        <f t="shared" si="73"/>
        <v>Heart Disease</v>
      </c>
      <c r="Q809" t="str">
        <f t="shared" si="74"/>
        <v>Non-Anginal Pain</v>
      </c>
      <c r="R809" t="str">
        <f t="shared" si="75"/>
        <v>Normal</v>
      </c>
      <c r="S809" t="str">
        <f t="shared" si="76"/>
        <v>Yes</v>
      </c>
      <c r="T809" t="str" cm="1">
        <f t="array" ref="T809">_xlfn.IFS(A808&lt;30,"18-29",A808&lt;40,"30-39",A808&lt;50,"40-49",A808&lt;60,"50-59",A808&gt;=60,"60+")</f>
        <v>50-59</v>
      </c>
      <c r="U809" t="str">
        <f t="shared" si="77"/>
        <v>High (Stage 1)</v>
      </c>
    </row>
    <row r="810" spans="1:21">
      <c r="A810">
        <v>51</v>
      </c>
      <c r="B810">
        <v>1</v>
      </c>
      <c r="C810">
        <v>2</v>
      </c>
      <c r="D810">
        <v>94</v>
      </c>
      <c r="E810">
        <v>227</v>
      </c>
      <c r="F810">
        <v>0</v>
      </c>
      <c r="G810">
        <v>1</v>
      </c>
      <c r="H810">
        <v>154</v>
      </c>
      <c r="I810">
        <v>1</v>
      </c>
      <c r="J810">
        <v>0</v>
      </c>
      <c r="K810">
        <v>2</v>
      </c>
      <c r="L810">
        <v>1</v>
      </c>
      <c r="M810">
        <v>3</v>
      </c>
      <c r="N810">
        <v>1</v>
      </c>
      <c r="O810" t="str">
        <f t="shared" si="72"/>
        <v>Male</v>
      </c>
      <c r="P810" t="str">
        <f t="shared" si="73"/>
        <v>Heart Disease</v>
      </c>
      <c r="Q810" t="str">
        <f t="shared" si="74"/>
        <v>Non-Anginal Pain</v>
      </c>
      <c r="R810" t="str">
        <f t="shared" si="75"/>
        <v>Normal</v>
      </c>
      <c r="S810" t="str">
        <f t="shared" si="76"/>
        <v>Yes</v>
      </c>
      <c r="T810" t="str" cm="1">
        <f t="array" ref="T810">_xlfn.IFS(A809&lt;30,"18-29",A809&lt;40,"30-39",A809&lt;50,"40-49",A809&lt;60,"50-59",A809&gt;=60,"60+")</f>
        <v>40-49</v>
      </c>
      <c r="U810" t="str">
        <f t="shared" si="77"/>
        <v>Normal</v>
      </c>
    </row>
    <row r="811" spans="1:21">
      <c r="A811">
        <v>54</v>
      </c>
      <c r="B811">
        <v>0</v>
      </c>
      <c r="C811">
        <v>2</v>
      </c>
      <c r="D811">
        <v>110</v>
      </c>
      <c r="E811">
        <v>214</v>
      </c>
      <c r="F811">
        <v>0</v>
      </c>
      <c r="G811">
        <v>1</v>
      </c>
      <c r="H811">
        <v>158</v>
      </c>
      <c r="I811">
        <v>0</v>
      </c>
      <c r="J811">
        <v>1.6</v>
      </c>
      <c r="K811">
        <v>1</v>
      </c>
      <c r="L811">
        <v>0</v>
      </c>
      <c r="M811">
        <v>2</v>
      </c>
      <c r="N811">
        <v>1</v>
      </c>
      <c r="O811" t="str">
        <f t="shared" si="72"/>
        <v>Female</v>
      </c>
      <c r="P811" t="str">
        <f t="shared" si="73"/>
        <v>Heart Disease</v>
      </c>
      <c r="Q811" t="str">
        <f t="shared" si="74"/>
        <v>Non-Anginal Pain</v>
      </c>
      <c r="R811" t="str">
        <f t="shared" si="75"/>
        <v>Normal</v>
      </c>
      <c r="S811" t="str">
        <f t="shared" si="76"/>
        <v>No</v>
      </c>
      <c r="T811" t="str" cm="1">
        <f t="array" ref="T811">_xlfn.IFS(A810&lt;30,"18-29",A810&lt;40,"30-39",A810&lt;50,"40-49",A810&lt;60,"50-59",A810&gt;=60,"60+")</f>
        <v>50-59</v>
      </c>
      <c r="U811" t="str">
        <f t="shared" si="77"/>
        <v>Normal</v>
      </c>
    </row>
    <row r="812" spans="1:21">
      <c r="A812">
        <v>40</v>
      </c>
      <c r="B812">
        <v>1</v>
      </c>
      <c r="C812">
        <v>0</v>
      </c>
      <c r="D812">
        <v>110</v>
      </c>
      <c r="E812">
        <v>167</v>
      </c>
      <c r="F812">
        <v>0</v>
      </c>
      <c r="G812">
        <v>0</v>
      </c>
      <c r="H812">
        <v>114</v>
      </c>
      <c r="I812">
        <v>1</v>
      </c>
      <c r="J812">
        <v>2</v>
      </c>
      <c r="K812">
        <v>1</v>
      </c>
      <c r="L812">
        <v>0</v>
      </c>
      <c r="M812">
        <v>3</v>
      </c>
      <c r="N812">
        <v>0</v>
      </c>
      <c r="O812" t="str">
        <f t="shared" si="72"/>
        <v>Male</v>
      </c>
      <c r="P812" t="str">
        <f t="shared" si="73"/>
        <v>No Disease</v>
      </c>
      <c r="Q812" t="str">
        <f t="shared" si="74"/>
        <v>Typical Angina</v>
      </c>
      <c r="R812" t="str">
        <f t="shared" si="75"/>
        <v>Normal</v>
      </c>
      <c r="S812" t="str">
        <f t="shared" si="76"/>
        <v>Yes</v>
      </c>
      <c r="T812" t="str" cm="1">
        <f t="array" ref="T812">_xlfn.IFS(A811&lt;30,"18-29",A811&lt;40,"30-39",A811&lt;50,"40-49",A811&lt;60,"50-59",A811&gt;=60,"60+")</f>
        <v>50-59</v>
      </c>
      <c r="U812" t="str">
        <f t="shared" si="77"/>
        <v>Normal</v>
      </c>
    </row>
    <row r="813" spans="1:21">
      <c r="A813">
        <v>57</v>
      </c>
      <c r="B813">
        <v>1</v>
      </c>
      <c r="C813">
        <v>1</v>
      </c>
      <c r="D813">
        <v>124</v>
      </c>
      <c r="E813">
        <v>261</v>
      </c>
      <c r="F813">
        <v>0</v>
      </c>
      <c r="G813">
        <v>1</v>
      </c>
      <c r="H813">
        <v>141</v>
      </c>
      <c r="I813">
        <v>0</v>
      </c>
      <c r="J813">
        <v>0.3</v>
      </c>
      <c r="K813">
        <v>2</v>
      </c>
      <c r="L813">
        <v>0</v>
      </c>
      <c r="M813">
        <v>3</v>
      </c>
      <c r="N813">
        <v>0</v>
      </c>
      <c r="O813" t="str">
        <f t="shared" si="72"/>
        <v>Male</v>
      </c>
      <c r="P813" t="str">
        <f t="shared" si="73"/>
        <v>No Disease</v>
      </c>
      <c r="Q813" t="str">
        <f t="shared" si="74"/>
        <v>Atypical Angina</v>
      </c>
      <c r="R813" t="str">
        <f t="shared" si="75"/>
        <v>Normal</v>
      </c>
      <c r="S813" t="str">
        <f t="shared" si="76"/>
        <v>No</v>
      </c>
      <c r="T813" t="str" cm="1">
        <f t="array" ref="T813">_xlfn.IFS(A812&lt;30,"18-29",A812&lt;40,"30-39",A812&lt;50,"40-49",A812&lt;60,"50-59",A812&gt;=60,"60+")</f>
        <v>40-49</v>
      </c>
      <c r="U813" t="str">
        <f t="shared" si="77"/>
        <v>Elevated</v>
      </c>
    </row>
    <row r="814" spans="1:21">
      <c r="A814">
        <v>62</v>
      </c>
      <c r="B814">
        <v>0</v>
      </c>
      <c r="C814">
        <v>0</v>
      </c>
      <c r="D814">
        <v>140</v>
      </c>
      <c r="E814">
        <v>268</v>
      </c>
      <c r="F814">
        <v>0</v>
      </c>
      <c r="G814">
        <v>0</v>
      </c>
      <c r="H814">
        <v>160</v>
      </c>
      <c r="I814">
        <v>0</v>
      </c>
      <c r="J814">
        <v>3.6</v>
      </c>
      <c r="K814">
        <v>0</v>
      </c>
      <c r="L814">
        <v>2</v>
      </c>
      <c r="M814">
        <v>2</v>
      </c>
      <c r="N814">
        <v>0</v>
      </c>
      <c r="O814" t="str">
        <f t="shared" si="72"/>
        <v>Female</v>
      </c>
      <c r="P814" t="str">
        <f t="shared" si="73"/>
        <v>No Disease</v>
      </c>
      <c r="Q814" t="str">
        <f t="shared" si="74"/>
        <v>Typical Angina</v>
      </c>
      <c r="R814" t="str">
        <f t="shared" si="75"/>
        <v>Normal</v>
      </c>
      <c r="S814" t="str">
        <f t="shared" si="76"/>
        <v>No</v>
      </c>
      <c r="T814" t="str" cm="1">
        <f t="array" ref="T814">_xlfn.IFS(A813&lt;30,"18-29",A813&lt;40,"30-39",A813&lt;50,"40-49",A813&lt;60,"50-59",A813&gt;=60,"60+")</f>
        <v>50-59</v>
      </c>
      <c r="U814" t="str">
        <f t="shared" si="77"/>
        <v>High (Stage 2)</v>
      </c>
    </row>
    <row r="815" spans="1:21">
      <c r="A815">
        <v>53</v>
      </c>
      <c r="B815">
        <v>1</v>
      </c>
      <c r="C815">
        <v>0</v>
      </c>
      <c r="D815">
        <v>140</v>
      </c>
      <c r="E815">
        <v>203</v>
      </c>
      <c r="F815">
        <v>1</v>
      </c>
      <c r="G815">
        <v>0</v>
      </c>
      <c r="H815">
        <v>155</v>
      </c>
      <c r="I815">
        <v>1</v>
      </c>
      <c r="J815">
        <v>3.1</v>
      </c>
      <c r="K815">
        <v>0</v>
      </c>
      <c r="L815">
        <v>0</v>
      </c>
      <c r="M815">
        <v>3</v>
      </c>
      <c r="N815">
        <v>0</v>
      </c>
      <c r="O815" t="str">
        <f t="shared" si="72"/>
        <v>Male</v>
      </c>
      <c r="P815" t="str">
        <f t="shared" si="73"/>
        <v>No Disease</v>
      </c>
      <c r="Q815" t="str">
        <f t="shared" si="74"/>
        <v>Typical Angina</v>
      </c>
      <c r="R815" t="str">
        <f t="shared" si="75"/>
        <v>High</v>
      </c>
      <c r="S815" t="str">
        <f t="shared" si="76"/>
        <v>Yes</v>
      </c>
      <c r="T815" t="str" cm="1">
        <f t="array" ref="T815">_xlfn.IFS(A814&lt;30,"18-29",A814&lt;40,"30-39",A814&lt;50,"40-49",A814&lt;60,"50-59",A814&gt;=60,"60+")</f>
        <v>60+</v>
      </c>
      <c r="U815" t="str">
        <f t="shared" si="77"/>
        <v>High (Stage 2)</v>
      </c>
    </row>
    <row r="816" spans="1:21">
      <c r="A816">
        <v>62</v>
      </c>
      <c r="B816">
        <v>1</v>
      </c>
      <c r="C816">
        <v>1</v>
      </c>
      <c r="D816">
        <v>128</v>
      </c>
      <c r="E816">
        <v>208</v>
      </c>
      <c r="F816">
        <v>1</v>
      </c>
      <c r="G816">
        <v>0</v>
      </c>
      <c r="H816">
        <v>140</v>
      </c>
      <c r="I816">
        <v>0</v>
      </c>
      <c r="J816">
        <v>0</v>
      </c>
      <c r="K816">
        <v>2</v>
      </c>
      <c r="L816">
        <v>0</v>
      </c>
      <c r="M816">
        <v>2</v>
      </c>
      <c r="N816">
        <v>1</v>
      </c>
      <c r="O816" t="str">
        <f t="shared" si="72"/>
        <v>Male</v>
      </c>
      <c r="P816" t="str">
        <f t="shared" si="73"/>
        <v>Heart Disease</v>
      </c>
      <c r="Q816" t="str">
        <f t="shared" si="74"/>
        <v>Atypical Angina</v>
      </c>
      <c r="R816" t="str">
        <f t="shared" si="75"/>
        <v>High</v>
      </c>
      <c r="S816" t="str">
        <f t="shared" si="76"/>
        <v>No</v>
      </c>
      <c r="T816" t="str" cm="1">
        <f t="array" ref="T816">_xlfn.IFS(A815&lt;30,"18-29",A815&lt;40,"30-39",A815&lt;50,"40-49",A815&lt;60,"50-59",A815&gt;=60,"60+")</f>
        <v>50-59</v>
      </c>
      <c r="U816" t="str">
        <f t="shared" si="77"/>
        <v>Elevated</v>
      </c>
    </row>
    <row r="817" spans="1:21">
      <c r="A817">
        <v>58</v>
      </c>
      <c r="B817">
        <v>1</v>
      </c>
      <c r="C817">
        <v>2</v>
      </c>
      <c r="D817">
        <v>105</v>
      </c>
      <c r="E817">
        <v>240</v>
      </c>
      <c r="F817">
        <v>0</v>
      </c>
      <c r="G817">
        <v>0</v>
      </c>
      <c r="H817">
        <v>154</v>
      </c>
      <c r="I817">
        <v>1</v>
      </c>
      <c r="J817">
        <v>0.6</v>
      </c>
      <c r="K817">
        <v>1</v>
      </c>
      <c r="L817">
        <v>0</v>
      </c>
      <c r="M817">
        <v>3</v>
      </c>
      <c r="N817">
        <v>1</v>
      </c>
      <c r="O817" t="str">
        <f t="shared" si="72"/>
        <v>Male</v>
      </c>
      <c r="P817" t="str">
        <f t="shared" si="73"/>
        <v>Heart Disease</v>
      </c>
      <c r="Q817" t="str">
        <f t="shared" si="74"/>
        <v>Non-Anginal Pain</v>
      </c>
      <c r="R817" t="str">
        <f t="shared" si="75"/>
        <v>Normal</v>
      </c>
      <c r="S817" t="str">
        <f t="shared" si="76"/>
        <v>Yes</v>
      </c>
      <c r="T817" t="str" cm="1">
        <f t="array" ref="T817">_xlfn.IFS(A816&lt;30,"18-29",A816&lt;40,"30-39",A816&lt;50,"40-49",A816&lt;60,"50-59",A816&gt;=60,"60+")</f>
        <v>60+</v>
      </c>
      <c r="U817" t="str">
        <f t="shared" si="77"/>
        <v>Normal</v>
      </c>
    </row>
    <row r="818" spans="1:21">
      <c r="A818">
        <v>70</v>
      </c>
      <c r="B818">
        <v>1</v>
      </c>
      <c r="C818">
        <v>1</v>
      </c>
      <c r="D818">
        <v>156</v>
      </c>
      <c r="E818">
        <v>245</v>
      </c>
      <c r="F818">
        <v>0</v>
      </c>
      <c r="G818">
        <v>0</v>
      </c>
      <c r="H818">
        <v>143</v>
      </c>
      <c r="I818">
        <v>0</v>
      </c>
      <c r="J818">
        <v>0</v>
      </c>
      <c r="K818">
        <v>2</v>
      </c>
      <c r="L818">
        <v>0</v>
      </c>
      <c r="M818">
        <v>2</v>
      </c>
      <c r="N818">
        <v>1</v>
      </c>
      <c r="O818" t="str">
        <f t="shared" si="72"/>
        <v>Male</v>
      </c>
      <c r="P818" t="str">
        <f t="shared" si="73"/>
        <v>Heart Disease</v>
      </c>
      <c r="Q818" t="str">
        <f t="shared" si="74"/>
        <v>Atypical Angina</v>
      </c>
      <c r="R818" t="str">
        <f t="shared" si="75"/>
        <v>Normal</v>
      </c>
      <c r="S818" t="str">
        <f t="shared" si="76"/>
        <v>No</v>
      </c>
      <c r="T818" t="str" cm="1">
        <f t="array" ref="T818">_xlfn.IFS(A817&lt;30,"18-29",A817&lt;40,"30-39",A817&lt;50,"40-49",A817&lt;60,"50-59",A817&gt;=60,"60+")</f>
        <v>50-59</v>
      </c>
      <c r="U818" t="str">
        <f t="shared" si="77"/>
        <v>High (Stage 2)</v>
      </c>
    </row>
    <row r="819" spans="1:21">
      <c r="A819">
        <v>45</v>
      </c>
      <c r="B819">
        <v>1</v>
      </c>
      <c r="C819">
        <v>0</v>
      </c>
      <c r="D819">
        <v>115</v>
      </c>
      <c r="E819">
        <v>260</v>
      </c>
      <c r="F819">
        <v>0</v>
      </c>
      <c r="G819">
        <v>0</v>
      </c>
      <c r="H819">
        <v>185</v>
      </c>
      <c r="I819">
        <v>0</v>
      </c>
      <c r="J819">
        <v>0</v>
      </c>
      <c r="K819">
        <v>2</v>
      </c>
      <c r="L819">
        <v>0</v>
      </c>
      <c r="M819">
        <v>2</v>
      </c>
      <c r="N819">
        <v>1</v>
      </c>
      <c r="O819" t="str">
        <f t="shared" si="72"/>
        <v>Male</v>
      </c>
      <c r="P819" t="str">
        <f t="shared" si="73"/>
        <v>Heart Disease</v>
      </c>
      <c r="Q819" t="str">
        <f t="shared" si="74"/>
        <v>Typical Angina</v>
      </c>
      <c r="R819" t="str">
        <f t="shared" si="75"/>
        <v>Normal</v>
      </c>
      <c r="S819" t="str">
        <f t="shared" si="76"/>
        <v>No</v>
      </c>
      <c r="T819" t="str" cm="1">
        <f t="array" ref="T819">_xlfn.IFS(A818&lt;30,"18-29",A818&lt;40,"30-39",A818&lt;50,"40-49",A818&lt;60,"50-59",A818&gt;=60,"60+")</f>
        <v>60+</v>
      </c>
      <c r="U819" t="str">
        <f t="shared" si="77"/>
        <v>Normal</v>
      </c>
    </row>
    <row r="820" spans="1:21">
      <c r="A820">
        <v>42</v>
      </c>
      <c r="B820">
        <v>1</v>
      </c>
      <c r="C820">
        <v>3</v>
      </c>
      <c r="D820">
        <v>148</v>
      </c>
      <c r="E820">
        <v>244</v>
      </c>
      <c r="F820">
        <v>0</v>
      </c>
      <c r="G820">
        <v>0</v>
      </c>
      <c r="H820">
        <v>178</v>
      </c>
      <c r="I820">
        <v>0</v>
      </c>
      <c r="J820">
        <v>0.8</v>
      </c>
      <c r="K820">
        <v>2</v>
      </c>
      <c r="L820">
        <v>2</v>
      </c>
      <c r="M820">
        <v>2</v>
      </c>
      <c r="N820">
        <v>1</v>
      </c>
      <c r="O820" t="str">
        <f t="shared" si="72"/>
        <v>Male</v>
      </c>
      <c r="P820" t="str">
        <f t="shared" si="73"/>
        <v>Heart Disease</v>
      </c>
      <c r="Q820" t="str">
        <f t="shared" si="74"/>
        <v>Asymptomatic</v>
      </c>
      <c r="R820" t="str">
        <f t="shared" si="75"/>
        <v>Normal</v>
      </c>
      <c r="S820" t="str">
        <f t="shared" si="76"/>
        <v>No</v>
      </c>
      <c r="T820" t="str" cm="1">
        <f t="array" ref="T820">_xlfn.IFS(A819&lt;30,"18-29",A819&lt;40,"30-39",A819&lt;50,"40-49",A819&lt;60,"50-59",A819&gt;=60,"60+")</f>
        <v>40-49</v>
      </c>
      <c r="U820" t="str">
        <f t="shared" si="77"/>
        <v>High (Stage 2)</v>
      </c>
    </row>
    <row r="821" spans="1:21">
      <c r="A821">
        <v>58</v>
      </c>
      <c r="B821">
        <v>0</v>
      </c>
      <c r="C821">
        <v>0</v>
      </c>
      <c r="D821">
        <v>170</v>
      </c>
      <c r="E821">
        <v>225</v>
      </c>
      <c r="F821">
        <v>1</v>
      </c>
      <c r="G821">
        <v>0</v>
      </c>
      <c r="H821">
        <v>146</v>
      </c>
      <c r="I821">
        <v>1</v>
      </c>
      <c r="J821">
        <v>2.8</v>
      </c>
      <c r="K821">
        <v>1</v>
      </c>
      <c r="L821">
        <v>2</v>
      </c>
      <c r="M821">
        <v>1</v>
      </c>
      <c r="N821">
        <v>0</v>
      </c>
      <c r="O821" t="str">
        <f t="shared" si="72"/>
        <v>Female</v>
      </c>
      <c r="P821" t="str">
        <f t="shared" si="73"/>
        <v>No Disease</v>
      </c>
      <c r="Q821" t="str">
        <f t="shared" si="74"/>
        <v>Typical Angina</v>
      </c>
      <c r="R821" t="str">
        <f t="shared" si="75"/>
        <v>High</v>
      </c>
      <c r="S821" t="str">
        <f t="shared" si="76"/>
        <v>Yes</v>
      </c>
      <c r="T821" t="str" cm="1">
        <f t="array" ref="T821">_xlfn.IFS(A820&lt;30,"18-29",A820&lt;40,"30-39",A820&lt;50,"40-49",A820&lt;60,"50-59",A820&gt;=60,"60+")</f>
        <v>40-49</v>
      </c>
      <c r="U821" t="str">
        <f t="shared" si="77"/>
        <v>High (Stage 2)</v>
      </c>
    </row>
    <row r="822" spans="1:21">
      <c r="A822">
        <v>61</v>
      </c>
      <c r="B822">
        <v>1</v>
      </c>
      <c r="C822">
        <v>0</v>
      </c>
      <c r="D822">
        <v>140</v>
      </c>
      <c r="E822">
        <v>207</v>
      </c>
      <c r="F822">
        <v>0</v>
      </c>
      <c r="G822">
        <v>0</v>
      </c>
      <c r="H822">
        <v>138</v>
      </c>
      <c r="I822">
        <v>1</v>
      </c>
      <c r="J822">
        <v>1.9</v>
      </c>
      <c r="K822">
        <v>2</v>
      </c>
      <c r="L822">
        <v>1</v>
      </c>
      <c r="M822">
        <v>3</v>
      </c>
      <c r="N822">
        <v>0</v>
      </c>
      <c r="O822" t="str">
        <f t="shared" si="72"/>
        <v>Male</v>
      </c>
      <c r="P822" t="str">
        <f t="shared" si="73"/>
        <v>No Disease</v>
      </c>
      <c r="Q822" t="str">
        <f t="shared" si="74"/>
        <v>Typical Angina</v>
      </c>
      <c r="R822" t="str">
        <f t="shared" si="75"/>
        <v>Normal</v>
      </c>
      <c r="S822" t="str">
        <f t="shared" si="76"/>
        <v>Yes</v>
      </c>
      <c r="T822" t="str" cm="1">
        <f t="array" ref="T822">_xlfn.IFS(A821&lt;30,"18-29",A821&lt;40,"30-39",A821&lt;50,"40-49",A821&lt;60,"50-59",A821&gt;=60,"60+")</f>
        <v>50-59</v>
      </c>
      <c r="U822" t="str">
        <f t="shared" si="77"/>
        <v>High (Stage 2)</v>
      </c>
    </row>
    <row r="823" spans="1:21">
      <c r="A823">
        <v>62</v>
      </c>
      <c r="B823">
        <v>0</v>
      </c>
      <c r="C823">
        <v>0</v>
      </c>
      <c r="D823">
        <v>140</v>
      </c>
      <c r="E823">
        <v>268</v>
      </c>
      <c r="F823">
        <v>0</v>
      </c>
      <c r="G823">
        <v>0</v>
      </c>
      <c r="H823">
        <v>160</v>
      </c>
      <c r="I823">
        <v>0</v>
      </c>
      <c r="J823">
        <v>3.6</v>
      </c>
      <c r="K823">
        <v>0</v>
      </c>
      <c r="L823">
        <v>2</v>
      </c>
      <c r="M823">
        <v>2</v>
      </c>
      <c r="N823">
        <v>0</v>
      </c>
      <c r="O823" t="str">
        <f t="shared" si="72"/>
        <v>Female</v>
      </c>
      <c r="P823" t="str">
        <f t="shared" si="73"/>
        <v>No Disease</v>
      </c>
      <c r="Q823" t="str">
        <f t="shared" si="74"/>
        <v>Typical Angina</v>
      </c>
      <c r="R823" t="str">
        <f t="shared" si="75"/>
        <v>Normal</v>
      </c>
      <c r="S823" t="str">
        <f t="shared" si="76"/>
        <v>No</v>
      </c>
      <c r="T823" t="str" cm="1">
        <f t="array" ref="T823">_xlfn.IFS(A822&lt;30,"18-29",A822&lt;40,"30-39",A822&lt;50,"40-49",A822&lt;60,"50-59",A822&gt;=60,"60+")</f>
        <v>60+</v>
      </c>
      <c r="U823" t="str">
        <f t="shared" si="77"/>
        <v>High (Stage 2)</v>
      </c>
    </row>
    <row r="824" spans="1:21">
      <c r="A824">
        <v>60</v>
      </c>
      <c r="B824">
        <v>1</v>
      </c>
      <c r="C824">
        <v>0</v>
      </c>
      <c r="D824">
        <v>130</v>
      </c>
      <c r="E824">
        <v>253</v>
      </c>
      <c r="F824">
        <v>0</v>
      </c>
      <c r="G824">
        <v>1</v>
      </c>
      <c r="H824">
        <v>144</v>
      </c>
      <c r="I824">
        <v>1</v>
      </c>
      <c r="J824">
        <v>1.4</v>
      </c>
      <c r="K824">
        <v>2</v>
      </c>
      <c r="L824">
        <v>1</v>
      </c>
      <c r="M824">
        <v>3</v>
      </c>
      <c r="N824">
        <v>0</v>
      </c>
      <c r="O824" t="str">
        <f t="shared" si="72"/>
        <v>Male</v>
      </c>
      <c r="P824" t="str">
        <f t="shared" si="73"/>
        <v>No Disease</v>
      </c>
      <c r="Q824" t="str">
        <f t="shared" si="74"/>
        <v>Typical Angina</v>
      </c>
      <c r="R824" t="str">
        <f t="shared" si="75"/>
        <v>Normal</v>
      </c>
      <c r="S824" t="str">
        <f t="shared" si="76"/>
        <v>Yes</v>
      </c>
      <c r="T824" t="str" cm="1">
        <f t="array" ref="T824">_xlfn.IFS(A823&lt;30,"18-29",A823&lt;40,"30-39",A823&lt;50,"40-49",A823&lt;60,"50-59",A823&gt;=60,"60+")</f>
        <v>60+</v>
      </c>
      <c r="U824" t="str">
        <f t="shared" si="77"/>
        <v>High (Stage 1)</v>
      </c>
    </row>
    <row r="825" spans="1:21">
      <c r="A825">
        <v>54</v>
      </c>
      <c r="B825">
        <v>1</v>
      </c>
      <c r="C825">
        <v>0</v>
      </c>
      <c r="D825">
        <v>140</v>
      </c>
      <c r="E825">
        <v>239</v>
      </c>
      <c r="F825">
        <v>0</v>
      </c>
      <c r="G825">
        <v>1</v>
      </c>
      <c r="H825">
        <v>160</v>
      </c>
      <c r="I825">
        <v>0</v>
      </c>
      <c r="J825">
        <v>1.2</v>
      </c>
      <c r="K825">
        <v>2</v>
      </c>
      <c r="L825">
        <v>0</v>
      </c>
      <c r="M825">
        <v>2</v>
      </c>
      <c r="N825">
        <v>1</v>
      </c>
      <c r="O825" t="str">
        <f t="shared" si="72"/>
        <v>Male</v>
      </c>
      <c r="P825" t="str">
        <f t="shared" si="73"/>
        <v>Heart Disease</v>
      </c>
      <c r="Q825" t="str">
        <f t="shared" si="74"/>
        <v>Typical Angina</v>
      </c>
      <c r="R825" t="str">
        <f t="shared" si="75"/>
        <v>Normal</v>
      </c>
      <c r="S825" t="str">
        <f t="shared" si="76"/>
        <v>No</v>
      </c>
      <c r="T825" t="str" cm="1">
        <f t="array" ref="T825">_xlfn.IFS(A824&lt;30,"18-29",A824&lt;40,"30-39",A824&lt;50,"40-49",A824&lt;60,"50-59",A824&gt;=60,"60+")</f>
        <v>60+</v>
      </c>
      <c r="U825" t="str">
        <f t="shared" si="77"/>
        <v>High (Stage 2)</v>
      </c>
    </row>
    <row r="826" spans="1:21">
      <c r="A826">
        <v>61</v>
      </c>
      <c r="B826">
        <v>1</v>
      </c>
      <c r="C826">
        <v>0</v>
      </c>
      <c r="D826">
        <v>138</v>
      </c>
      <c r="E826">
        <v>166</v>
      </c>
      <c r="F826">
        <v>0</v>
      </c>
      <c r="G826">
        <v>0</v>
      </c>
      <c r="H826">
        <v>125</v>
      </c>
      <c r="I826">
        <v>1</v>
      </c>
      <c r="J826">
        <v>3.6</v>
      </c>
      <c r="K826">
        <v>1</v>
      </c>
      <c r="L826">
        <v>1</v>
      </c>
      <c r="M826">
        <v>2</v>
      </c>
      <c r="N826">
        <v>0</v>
      </c>
      <c r="O826" t="str">
        <f t="shared" si="72"/>
        <v>Male</v>
      </c>
      <c r="P826" t="str">
        <f t="shared" si="73"/>
        <v>No Disease</v>
      </c>
      <c r="Q826" t="str">
        <f t="shared" si="74"/>
        <v>Typical Angina</v>
      </c>
      <c r="R826" t="str">
        <f t="shared" si="75"/>
        <v>Normal</v>
      </c>
      <c r="S826" t="str">
        <f t="shared" si="76"/>
        <v>Yes</v>
      </c>
      <c r="T826" t="str" cm="1">
        <f t="array" ref="T826">_xlfn.IFS(A825&lt;30,"18-29",A825&lt;40,"30-39",A825&lt;50,"40-49",A825&lt;60,"50-59",A825&gt;=60,"60+")</f>
        <v>50-59</v>
      </c>
      <c r="U826" t="str">
        <f t="shared" si="77"/>
        <v>High (Stage 1)</v>
      </c>
    </row>
    <row r="827" spans="1:21">
      <c r="A827">
        <v>63</v>
      </c>
      <c r="B827">
        <v>0</v>
      </c>
      <c r="C827">
        <v>2</v>
      </c>
      <c r="D827">
        <v>135</v>
      </c>
      <c r="E827">
        <v>252</v>
      </c>
      <c r="F827">
        <v>0</v>
      </c>
      <c r="G827">
        <v>0</v>
      </c>
      <c r="H827">
        <v>172</v>
      </c>
      <c r="I827">
        <v>0</v>
      </c>
      <c r="J827">
        <v>0</v>
      </c>
      <c r="K827">
        <v>2</v>
      </c>
      <c r="L827">
        <v>0</v>
      </c>
      <c r="M827">
        <v>2</v>
      </c>
      <c r="N827">
        <v>1</v>
      </c>
      <c r="O827" t="str">
        <f t="shared" si="72"/>
        <v>Female</v>
      </c>
      <c r="P827" t="str">
        <f t="shared" si="73"/>
        <v>Heart Disease</v>
      </c>
      <c r="Q827" t="str">
        <f t="shared" si="74"/>
        <v>Non-Anginal Pain</v>
      </c>
      <c r="R827" t="str">
        <f t="shared" si="75"/>
        <v>Normal</v>
      </c>
      <c r="S827" t="str">
        <f t="shared" si="76"/>
        <v>No</v>
      </c>
      <c r="T827" t="str" cm="1">
        <f t="array" ref="T827">_xlfn.IFS(A826&lt;30,"18-29",A826&lt;40,"30-39",A826&lt;50,"40-49",A826&lt;60,"50-59",A826&gt;=60,"60+")</f>
        <v>60+</v>
      </c>
      <c r="U827" t="str">
        <f t="shared" si="77"/>
        <v>High (Stage 1)</v>
      </c>
    </row>
    <row r="828" spans="1:21">
      <c r="A828">
        <v>42</v>
      </c>
      <c r="B828">
        <v>1</v>
      </c>
      <c r="C828">
        <v>2</v>
      </c>
      <c r="D828">
        <v>130</v>
      </c>
      <c r="E828">
        <v>180</v>
      </c>
      <c r="F828">
        <v>0</v>
      </c>
      <c r="G828">
        <v>1</v>
      </c>
      <c r="H828">
        <v>150</v>
      </c>
      <c r="I828">
        <v>0</v>
      </c>
      <c r="J828">
        <v>0</v>
      </c>
      <c r="K828">
        <v>2</v>
      </c>
      <c r="L828">
        <v>0</v>
      </c>
      <c r="M828">
        <v>2</v>
      </c>
      <c r="N828">
        <v>1</v>
      </c>
      <c r="O828" t="str">
        <f t="shared" si="72"/>
        <v>Male</v>
      </c>
      <c r="P828" t="str">
        <f t="shared" si="73"/>
        <v>Heart Disease</v>
      </c>
      <c r="Q828" t="str">
        <f t="shared" si="74"/>
        <v>Non-Anginal Pain</v>
      </c>
      <c r="R828" t="str">
        <f t="shared" si="75"/>
        <v>Normal</v>
      </c>
      <c r="S828" t="str">
        <f t="shared" si="76"/>
        <v>No</v>
      </c>
      <c r="T828" t="str" cm="1">
        <f t="array" ref="T828">_xlfn.IFS(A827&lt;30,"18-29",A827&lt;40,"30-39",A827&lt;50,"40-49",A827&lt;60,"50-59",A827&gt;=60,"60+")</f>
        <v>60+</v>
      </c>
      <c r="U828" t="str">
        <f t="shared" si="77"/>
        <v>High (Stage 1)</v>
      </c>
    </row>
    <row r="829" spans="1:21">
      <c r="A829">
        <v>57</v>
      </c>
      <c r="B829">
        <v>1</v>
      </c>
      <c r="C829">
        <v>2</v>
      </c>
      <c r="D829">
        <v>128</v>
      </c>
      <c r="E829">
        <v>229</v>
      </c>
      <c r="F829">
        <v>0</v>
      </c>
      <c r="G829">
        <v>0</v>
      </c>
      <c r="H829">
        <v>150</v>
      </c>
      <c r="I829">
        <v>0</v>
      </c>
      <c r="J829">
        <v>0.4</v>
      </c>
      <c r="K829">
        <v>1</v>
      </c>
      <c r="L829">
        <v>1</v>
      </c>
      <c r="M829">
        <v>3</v>
      </c>
      <c r="N829">
        <v>0</v>
      </c>
      <c r="O829" t="str">
        <f t="shared" si="72"/>
        <v>Male</v>
      </c>
      <c r="P829" t="str">
        <f t="shared" si="73"/>
        <v>No Disease</v>
      </c>
      <c r="Q829" t="str">
        <f t="shared" si="74"/>
        <v>Non-Anginal Pain</v>
      </c>
      <c r="R829" t="str">
        <f t="shared" si="75"/>
        <v>Normal</v>
      </c>
      <c r="S829" t="str">
        <f t="shared" si="76"/>
        <v>No</v>
      </c>
      <c r="T829" t="str" cm="1">
        <f t="array" ref="T829">_xlfn.IFS(A828&lt;30,"18-29",A828&lt;40,"30-39",A828&lt;50,"40-49",A828&lt;60,"50-59",A828&gt;=60,"60+")</f>
        <v>40-49</v>
      </c>
      <c r="U829" t="str">
        <f t="shared" si="77"/>
        <v>Elevated</v>
      </c>
    </row>
    <row r="830" spans="1:21">
      <c r="A830">
        <v>44</v>
      </c>
      <c r="B830">
        <v>1</v>
      </c>
      <c r="C830">
        <v>2</v>
      </c>
      <c r="D830">
        <v>130</v>
      </c>
      <c r="E830">
        <v>233</v>
      </c>
      <c r="F830">
        <v>0</v>
      </c>
      <c r="G830">
        <v>1</v>
      </c>
      <c r="H830">
        <v>179</v>
      </c>
      <c r="I830">
        <v>1</v>
      </c>
      <c r="J830">
        <v>0.4</v>
      </c>
      <c r="K830">
        <v>2</v>
      </c>
      <c r="L830">
        <v>0</v>
      </c>
      <c r="M830">
        <v>2</v>
      </c>
      <c r="N830">
        <v>1</v>
      </c>
      <c r="O830" t="str">
        <f t="shared" si="72"/>
        <v>Male</v>
      </c>
      <c r="P830" t="str">
        <f t="shared" si="73"/>
        <v>Heart Disease</v>
      </c>
      <c r="Q830" t="str">
        <f t="shared" si="74"/>
        <v>Non-Anginal Pain</v>
      </c>
      <c r="R830" t="str">
        <f t="shared" si="75"/>
        <v>Normal</v>
      </c>
      <c r="S830" t="str">
        <f t="shared" si="76"/>
        <v>Yes</v>
      </c>
      <c r="T830" t="str" cm="1">
        <f t="array" ref="T830">_xlfn.IFS(A829&lt;30,"18-29",A829&lt;40,"30-39",A829&lt;50,"40-49",A829&lt;60,"50-59",A829&gt;=60,"60+")</f>
        <v>50-59</v>
      </c>
      <c r="U830" t="str">
        <f t="shared" si="77"/>
        <v>High (Stage 1)</v>
      </c>
    </row>
    <row r="831" spans="1:21">
      <c r="A831">
        <v>54</v>
      </c>
      <c r="B831">
        <v>1</v>
      </c>
      <c r="C831">
        <v>0</v>
      </c>
      <c r="D831">
        <v>124</v>
      </c>
      <c r="E831">
        <v>266</v>
      </c>
      <c r="F831">
        <v>0</v>
      </c>
      <c r="G831">
        <v>0</v>
      </c>
      <c r="H831">
        <v>109</v>
      </c>
      <c r="I831">
        <v>1</v>
      </c>
      <c r="J831">
        <v>2.2000000000000002</v>
      </c>
      <c r="K831">
        <v>1</v>
      </c>
      <c r="L831">
        <v>1</v>
      </c>
      <c r="M831">
        <v>3</v>
      </c>
      <c r="N831">
        <v>0</v>
      </c>
      <c r="O831" t="str">
        <f t="shared" si="72"/>
        <v>Male</v>
      </c>
      <c r="P831" t="str">
        <f t="shared" si="73"/>
        <v>No Disease</v>
      </c>
      <c r="Q831" t="str">
        <f t="shared" si="74"/>
        <v>Typical Angina</v>
      </c>
      <c r="R831" t="str">
        <f t="shared" si="75"/>
        <v>Normal</v>
      </c>
      <c r="S831" t="str">
        <f t="shared" si="76"/>
        <v>Yes</v>
      </c>
      <c r="T831" t="str" cm="1">
        <f t="array" ref="T831">_xlfn.IFS(A830&lt;30,"18-29",A830&lt;40,"30-39",A830&lt;50,"40-49",A830&lt;60,"50-59",A830&gt;=60,"60+")</f>
        <v>40-49</v>
      </c>
      <c r="U831" t="str">
        <f t="shared" si="77"/>
        <v>Elevated</v>
      </c>
    </row>
    <row r="832" spans="1:21">
      <c r="A832">
        <v>51</v>
      </c>
      <c r="B832">
        <v>1</v>
      </c>
      <c r="C832">
        <v>2</v>
      </c>
      <c r="D832">
        <v>100</v>
      </c>
      <c r="E832">
        <v>222</v>
      </c>
      <c r="F832">
        <v>0</v>
      </c>
      <c r="G832">
        <v>1</v>
      </c>
      <c r="H832">
        <v>143</v>
      </c>
      <c r="I832">
        <v>1</v>
      </c>
      <c r="J832">
        <v>1.2</v>
      </c>
      <c r="K832">
        <v>1</v>
      </c>
      <c r="L832">
        <v>0</v>
      </c>
      <c r="M832">
        <v>2</v>
      </c>
      <c r="N832">
        <v>1</v>
      </c>
      <c r="O832" t="str">
        <f t="shared" si="72"/>
        <v>Male</v>
      </c>
      <c r="P832" t="str">
        <f t="shared" si="73"/>
        <v>Heart Disease</v>
      </c>
      <c r="Q832" t="str">
        <f t="shared" si="74"/>
        <v>Non-Anginal Pain</v>
      </c>
      <c r="R832" t="str">
        <f t="shared" si="75"/>
        <v>Normal</v>
      </c>
      <c r="S832" t="str">
        <f t="shared" si="76"/>
        <v>Yes</v>
      </c>
      <c r="T832" t="str" cm="1">
        <f t="array" ref="T832">_xlfn.IFS(A831&lt;30,"18-29",A831&lt;40,"30-39",A831&lt;50,"40-49",A831&lt;60,"50-59",A831&gt;=60,"60+")</f>
        <v>50-59</v>
      </c>
      <c r="U832" t="str">
        <f t="shared" si="77"/>
        <v>Normal</v>
      </c>
    </row>
    <row r="833" spans="1:21">
      <c r="A833">
        <v>58</v>
      </c>
      <c r="B833">
        <v>1</v>
      </c>
      <c r="C833">
        <v>1</v>
      </c>
      <c r="D833">
        <v>125</v>
      </c>
      <c r="E833">
        <v>220</v>
      </c>
      <c r="F833">
        <v>0</v>
      </c>
      <c r="G833">
        <v>1</v>
      </c>
      <c r="H833">
        <v>144</v>
      </c>
      <c r="I833">
        <v>0</v>
      </c>
      <c r="J833">
        <v>0.4</v>
      </c>
      <c r="K833">
        <v>1</v>
      </c>
      <c r="L833">
        <v>4</v>
      </c>
      <c r="M833">
        <v>3</v>
      </c>
      <c r="N833">
        <v>1</v>
      </c>
      <c r="O833" t="str">
        <f t="shared" si="72"/>
        <v>Male</v>
      </c>
      <c r="P833" t="str">
        <f t="shared" si="73"/>
        <v>Heart Disease</v>
      </c>
      <c r="Q833" t="str">
        <f t="shared" si="74"/>
        <v>Atypical Angina</v>
      </c>
      <c r="R833" t="str">
        <f t="shared" si="75"/>
        <v>Normal</v>
      </c>
      <c r="S833" t="str">
        <f t="shared" si="76"/>
        <v>No</v>
      </c>
      <c r="T833" t="str" cm="1">
        <f t="array" ref="T833">_xlfn.IFS(A832&lt;30,"18-29",A832&lt;40,"30-39",A832&lt;50,"40-49",A832&lt;60,"50-59",A832&gt;=60,"60+")</f>
        <v>50-59</v>
      </c>
      <c r="U833" t="str">
        <f t="shared" si="77"/>
        <v>Elevated</v>
      </c>
    </row>
    <row r="834" spans="1:21">
      <c r="A834">
        <v>68</v>
      </c>
      <c r="B834">
        <v>1</v>
      </c>
      <c r="C834">
        <v>2</v>
      </c>
      <c r="D834">
        <v>118</v>
      </c>
      <c r="E834">
        <v>277</v>
      </c>
      <c r="F834">
        <v>0</v>
      </c>
      <c r="G834">
        <v>1</v>
      </c>
      <c r="H834">
        <v>151</v>
      </c>
      <c r="I834">
        <v>0</v>
      </c>
      <c r="J834">
        <v>1</v>
      </c>
      <c r="K834">
        <v>2</v>
      </c>
      <c r="L834">
        <v>1</v>
      </c>
      <c r="M834">
        <v>3</v>
      </c>
      <c r="N834">
        <v>1</v>
      </c>
      <c r="O834" t="str">
        <f t="shared" ref="O834:O897" si="78">IF(B834=1,"Male","Female")</f>
        <v>Male</v>
      </c>
      <c r="P834" t="str">
        <f t="shared" ref="P834:P897" si="79">IF(N834=1,"Heart Disease","No Disease")</f>
        <v>Heart Disease</v>
      </c>
      <c r="Q834" t="str">
        <f t="shared" ref="Q834:Q897" si="80">IF(C834=0,"Typical Angina",IF(C834=1,"Atypical Angina",IF(C834=2,"Non-Anginal Pain","Asymptomatic")))</f>
        <v>Non-Anginal Pain</v>
      </c>
      <c r="R834" t="str">
        <f t="shared" ref="R834:R897" si="81">IF(F834=1,"High","Normal")</f>
        <v>Normal</v>
      </c>
      <c r="S834" t="str">
        <f t="shared" ref="S834:S897" si="82">IF(I834=1,"Yes","No")</f>
        <v>No</v>
      </c>
      <c r="T834" t="str" cm="1">
        <f t="array" ref="T834">_xlfn.IFS(A833&lt;30,"18-29",A833&lt;40,"30-39",A833&lt;50,"40-49",A833&lt;60,"50-59",A833&gt;=60,"60+")</f>
        <v>50-59</v>
      </c>
      <c r="U834" t="str">
        <f t="shared" ref="U834:U897" si="83">IF(D834&lt;120,"Normal",IF(D834&lt;130,"Elevated",IF(D834&lt;140,"High (Stage 1)","High (Stage 2)")))</f>
        <v>Normal</v>
      </c>
    </row>
    <row r="835" spans="1:21">
      <c r="A835">
        <v>55</v>
      </c>
      <c r="B835">
        <v>1</v>
      </c>
      <c r="C835">
        <v>0</v>
      </c>
      <c r="D835">
        <v>140</v>
      </c>
      <c r="E835">
        <v>217</v>
      </c>
      <c r="F835">
        <v>0</v>
      </c>
      <c r="G835">
        <v>1</v>
      </c>
      <c r="H835">
        <v>111</v>
      </c>
      <c r="I835">
        <v>1</v>
      </c>
      <c r="J835">
        <v>5.6</v>
      </c>
      <c r="K835">
        <v>0</v>
      </c>
      <c r="L835">
        <v>0</v>
      </c>
      <c r="M835">
        <v>3</v>
      </c>
      <c r="N835">
        <v>0</v>
      </c>
      <c r="O835" t="str">
        <f t="shared" si="78"/>
        <v>Male</v>
      </c>
      <c r="P835" t="str">
        <f t="shared" si="79"/>
        <v>No Disease</v>
      </c>
      <c r="Q835" t="str">
        <f t="shared" si="80"/>
        <v>Typical Angina</v>
      </c>
      <c r="R835" t="str">
        <f t="shared" si="81"/>
        <v>Normal</v>
      </c>
      <c r="S835" t="str">
        <f t="shared" si="82"/>
        <v>Yes</v>
      </c>
      <c r="T835" t="str" cm="1">
        <f t="array" ref="T835">_xlfn.IFS(A834&lt;30,"18-29",A834&lt;40,"30-39",A834&lt;50,"40-49",A834&lt;60,"50-59",A834&gt;=60,"60+")</f>
        <v>60+</v>
      </c>
      <c r="U835" t="str">
        <f t="shared" si="83"/>
        <v>High (Stage 2)</v>
      </c>
    </row>
    <row r="836" spans="1:21">
      <c r="A836">
        <v>42</v>
      </c>
      <c r="B836">
        <v>1</v>
      </c>
      <c r="C836">
        <v>0</v>
      </c>
      <c r="D836">
        <v>136</v>
      </c>
      <c r="E836">
        <v>315</v>
      </c>
      <c r="F836">
        <v>0</v>
      </c>
      <c r="G836">
        <v>1</v>
      </c>
      <c r="H836">
        <v>125</v>
      </c>
      <c r="I836">
        <v>1</v>
      </c>
      <c r="J836">
        <v>1.8</v>
      </c>
      <c r="K836">
        <v>1</v>
      </c>
      <c r="L836">
        <v>0</v>
      </c>
      <c r="M836">
        <v>1</v>
      </c>
      <c r="N836">
        <v>0</v>
      </c>
      <c r="O836" t="str">
        <f t="shared" si="78"/>
        <v>Male</v>
      </c>
      <c r="P836" t="str">
        <f t="shared" si="79"/>
        <v>No Disease</v>
      </c>
      <c r="Q836" t="str">
        <f t="shared" si="80"/>
        <v>Typical Angina</v>
      </c>
      <c r="R836" t="str">
        <f t="shared" si="81"/>
        <v>Normal</v>
      </c>
      <c r="S836" t="str">
        <f t="shared" si="82"/>
        <v>Yes</v>
      </c>
      <c r="T836" t="str" cm="1">
        <f t="array" ref="T836">_xlfn.IFS(A835&lt;30,"18-29",A835&lt;40,"30-39",A835&lt;50,"40-49",A835&lt;60,"50-59",A835&gt;=60,"60+")</f>
        <v>50-59</v>
      </c>
      <c r="U836" t="str">
        <f t="shared" si="83"/>
        <v>High (Stage 1)</v>
      </c>
    </row>
    <row r="837" spans="1:21">
      <c r="A837">
        <v>49</v>
      </c>
      <c r="B837">
        <v>1</v>
      </c>
      <c r="C837">
        <v>2</v>
      </c>
      <c r="D837">
        <v>118</v>
      </c>
      <c r="E837">
        <v>149</v>
      </c>
      <c r="F837">
        <v>0</v>
      </c>
      <c r="G837">
        <v>0</v>
      </c>
      <c r="H837">
        <v>126</v>
      </c>
      <c r="I837">
        <v>0</v>
      </c>
      <c r="J837">
        <v>0.8</v>
      </c>
      <c r="K837">
        <v>2</v>
      </c>
      <c r="L837">
        <v>3</v>
      </c>
      <c r="M837">
        <v>2</v>
      </c>
      <c r="N837">
        <v>0</v>
      </c>
      <c r="O837" t="str">
        <f t="shared" si="78"/>
        <v>Male</v>
      </c>
      <c r="P837" t="str">
        <f t="shared" si="79"/>
        <v>No Disease</v>
      </c>
      <c r="Q837" t="str">
        <f t="shared" si="80"/>
        <v>Non-Anginal Pain</v>
      </c>
      <c r="R837" t="str">
        <f t="shared" si="81"/>
        <v>Normal</v>
      </c>
      <c r="S837" t="str">
        <f t="shared" si="82"/>
        <v>No</v>
      </c>
      <c r="T837" t="str" cm="1">
        <f t="array" ref="T837">_xlfn.IFS(A836&lt;30,"18-29",A836&lt;40,"30-39",A836&lt;50,"40-49",A836&lt;60,"50-59",A836&gt;=60,"60+")</f>
        <v>40-49</v>
      </c>
      <c r="U837" t="str">
        <f t="shared" si="83"/>
        <v>Normal</v>
      </c>
    </row>
    <row r="838" spans="1:21">
      <c r="A838">
        <v>53</v>
      </c>
      <c r="B838">
        <v>0</v>
      </c>
      <c r="C838">
        <v>0</v>
      </c>
      <c r="D838">
        <v>138</v>
      </c>
      <c r="E838">
        <v>234</v>
      </c>
      <c r="F838">
        <v>0</v>
      </c>
      <c r="G838">
        <v>0</v>
      </c>
      <c r="H838">
        <v>160</v>
      </c>
      <c r="I838">
        <v>0</v>
      </c>
      <c r="J838">
        <v>0</v>
      </c>
      <c r="K838">
        <v>2</v>
      </c>
      <c r="L838">
        <v>0</v>
      </c>
      <c r="M838">
        <v>2</v>
      </c>
      <c r="N838">
        <v>1</v>
      </c>
      <c r="O838" t="str">
        <f t="shared" si="78"/>
        <v>Female</v>
      </c>
      <c r="P838" t="str">
        <f t="shared" si="79"/>
        <v>Heart Disease</v>
      </c>
      <c r="Q838" t="str">
        <f t="shared" si="80"/>
        <v>Typical Angina</v>
      </c>
      <c r="R838" t="str">
        <f t="shared" si="81"/>
        <v>Normal</v>
      </c>
      <c r="S838" t="str">
        <f t="shared" si="82"/>
        <v>No</v>
      </c>
      <c r="T838" t="str" cm="1">
        <f t="array" ref="T838">_xlfn.IFS(A837&lt;30,"18-29",A837&lt;40,"30-39",A837&lt;50,"40-49",A837&lt;60,"50-59",A837&gt;=60,"60+")</f>
        <v>40-49</v>
      </c>
      <c r="U838" t="str">
        <f t="shared" si="83"/>
        <v>High (Stage 1)</v>
      </c>
    </row>
    <row r="839" spans="1:21">
      <c r="A839">
        <v>52</v>
      </c>
      <c r="B839">
        <v>1</v>
      </c>
      <c r="C839">
        <v>2</v>
      </c>
      <c r="D839">
        <v>172</v>
      </c>
      <c r="E839">
        <v>199</v>
      </c>
      <c r="F839">
        <v>1</v>
      </c>
      <c r="G839">
        <v>1</v>
      </c>
      <c r="H839">
        <v>162</v>
      </c>
      <c r="I839">
        <v>0</v>
      </c>
      <c r="J839">
        <v>0.5</v>
      </c>
      <c r="K839">
        <v>2</v>
      </c>
      <c r="L839">
        <v>0</v>
      </c>
      <c r="M839">
        <v>3</v>
      </c>
      <c r="N839">
        <v>1</v>
      </c>
      <c r="O839" t="str">
        <f t="shared" si="78"/>
        <v>Male</v>
      </c>
      <c r="P839" t="str">
        <f t="shared" si="79"/>
        <v>Heart Disease</v>
      </c>
      <c r="Q839" t="str">
        <f t="shared" si="80"/>
        <v>Non-Anginal Pain</v>
      </c>
      <c r="R839" t="str">
        <f t="shared" si="81"/>
        <v>High</v>
      </c>
      <c r="S839" t="str">
        <f t="shared" si="82"/>
        <v>No</v>
      </c>
      <c r="T839" t="str" cm="1">
        <f t="array" ref="T839">_xlfn.IFS(A838&lt;30,"18-29",A838&lt;40,"30-39",A838&lt;50,"40-49",A838&lt;60,"50-59",A838&gt;=60,"60+")</f>
        <v>50-59</v>
      </c>
      <c r="U839" t="str">
        <f t="shared" si="83"/>
        <v>High (Stage 2)</v>
      </c>
    </row>
    <row r="840" spans="1:21">
      <c r="A840">
        <v>51</v>
      </c>
      <c r="B840">
        <v>1</v>
      </c>
      <c r="C840">
        <v>3</v>
      </c>
      <c r="D840">
        <v>125</v>
      </c>
      <c r="E840">
        <v>213</v>
      </c>
      <c r="F840">
        <v>0</v>
      </c>
      <c r="G840">
        <v>0</v>
      </c>
      <c r="H840">
        <v>125</v>
      </c>
      <c r="I840">
        <v>1</v>
      </c>
      <c r="J840">
        <v>1.4</v>
      </c>
      <c r="K840">
        <v>2</v>
      </c>
      <c r="L840">
        <v>1</v>
      </c>
      <c r="M840">
        <v>2</v>
      </c>
      <c r="N840">
        <v>1</v>
      </c>
      <c r="O840" t="str">
        <f t="shared" si="78"/>
        <v>Male</v>
      </c>
      <c r="P840" t="str">
        <f t="shared" si="79"/>
        <v>Heart Disease</v>
      </c>
      <c r="Q840" t="str">
        <f t="shared" si="80"/>
        <v>Asymptomatic</v>
      </c>
      <c r="R840" t="str">
        <f t="shared" si="81"/>
        <v>Normal</v>
      </c>
      <c r="S840" t="str">
        <f t="shared" si="82"/>
        <v>Yes</v>
      </c>
      <c r="T840" t="str" cm="1">
        <f t="array" ref="T840">_xlfn.IFS(A839&lt;30,"18-29",A839&lt;40,"30-39",A839&lt;50,"40-49",A839&lt;60,"50-59",A839&gt;=60,"60+")</f>
        <v>50-59</v>
      </c>
      <c r="U840" t="str">
        <f t="shared" si="83"/>
        <v>Elevated</v>
      </c>
    </row>
    <row r="841" spans="1:21">
      <c r="A841">
        <v>51</v>
      </c>
      <c r="B841">
        <v>1</v>
      </c>
      <c r="C841">
        <v>0</v>
      </c>
      <c r="D841">
        <v>140</v>
      </c>
      <c r="E841">
        <v>261</v>
      </c>
      <c r="F841">
        <v>0</v>
      </c>
      <c r="G841">
        <v>0</v>
      </c>
      <c r="H841">
        <v>186</v>
      </c>
      <c r="I841">
        <v>1</v>
      </c>
      <c r="J841">
        <v>0</v>
      </c>
      <c r="K841">
        <v>2</v>
      </c>
      <c r="L841">
        <v>0</v>
      </c>
      <c r="M841">
        <v>2</v>
      </c>
      <c r="N841">
        <v>1</v>
      </c>
      <c r="O841" t="str">
        <f t="shared" si="78"/>
        <v>Male</v>
      </c>
      <c r="P841" t="str">
        <f t="shared" si="79"/>
        <v>Heart Disease</v>
      </c>
      <c r="Q841" t="str">
        <f t="shared" si="80"/>
        <v>Typical Angina</v>
      </c>
      <c r="R841" t="str">
        <f t="shared" si="81"/>
        <v>Normal</v>
      </c>
      <c r="S841" t="str">
        <f t="shared" si="82"/>
        <v>Yes</v>
      </c>
      <c r="T841" t="str" cm="1">
        <f t="array" ref="T841">_xlfn.IFS(A840&lt;30,"18-29",A840&lt;40,"30-39",A840&lt;50,"40-49",A840&lt;60,"50-59",A840&gt;=60,"60+")</f>
        <v>50-59</v>
      </c>
      <c r="U841" t="str">
        <f t="shared" si="83"/>
        <v>High (Stage 2)</v>
      </c>
    </row>
    <row r="842" spans="1:21">
      <c r="A842">
        <v>70</v>
      </c>
      <c r="B842">
        <v>1</v>
      </c>
      <c r="C842">
        <v>0</v>
      </c>
      <c r="D842">
        <v>145</v>
      </c>
      <c r="E842">
        <v>174</v>
      </c>
      <c r="F842">
        <v>0</v>
      </c>
      <c r="G842">
        <v>1</v>
      </c>
      <c r="H842">
        <v>125</v>
      </c>
      <c r="I842">
        <v>1</v>
      </c>
      <c r="J842">
        <v>2.6</v>
      </c>
      <c r="K842">
        <v>0</v>
      </c>
      <c r="L842">
        <v>0</v>
      </c>
      <c r="M842">
        <v>3</v>
      </c>
      <c r="N842">
        <v>0</v>
      </c>
      <c r="O842" t="str">
        <f t="shared" si="78"/>
        <v>Male</v>
      </c>
      <c r="P842" t="str">
        <f t="shared" si="79"/>
        <v>No Disease</v>
      </c>
      <c r="Q842" t="str">
        <f t="shared" si="80"/>
        <v>Typical Angina</v>
      </c>
      <c r="R842" t="str">
        <f t="shared" si="81"/>
        <v>Normal</v>
      </c>
      <c r="S842" t="str">
        <f t="shared" si="82"/>
        <v>Yes</v>
      </c>
      <c r="T842" t="str" cm="1">
        <f t="array" ref="T842">_xlfn.IFS(A841&lt;30,"18-29",A841&lt;40,"30-39",A841&lt;50,"40-49",A841&lt;60,"50-59",A841&gt;=60,"60+")</f>
        <v>50-59</v>
      </c>
      <c r="U842" t="str">
        <f t="shared" si="83"/>
        <v>High (Stage 2)</v>
      </c>
    </row>
    <row r="843" spans="1:21">
      <c r="A843">
        <v>35</v>
      </c>
      <c r="B843">
        <v>0</v>
      </c>
      <c r="C843">
        <v>0</v>
      </c>
      <c r="D843">
        <v>138</v>
      </c>
      <c r="E843">
        <v>183</v>
      </c>
      <c r="F843">
        <v>0</v>
      </c>
      <c r="G843">
        <v>1</v>
      </c>
      <c r="H843">
        <v>182</v>
      </c>
      <c r="I843">
        <v>0</v>
      </c>
      <c r="J843">
        <v>1.4</v>
      </c>
      <c r="K843">
        <v>2</v>
      </c>
      <c r="L843">
        <v>0</v>
      </c>
      <c r="M843">
        <v>2</v>
      </c>
      <c r="N843">
        <v>1</v>
      </c>
      <c r="O843" t="str">
        <f t="shared" si="78"/>
        <v>Female</v>
      </c>
      <c r="P843" t="str">
        <f t="shared" si="79"/>
        <v>Heart Disease</v>
      </c>
      <c r="Q843" t="str">
        <f t="shared" si="80"/>
        <v>Typical Angina</v>
      </c>
      <c r="R843" t="str">
        <f t="shared" si="81"/>
        <v>Normal</v>
      </c>
      <c r="S843" t="str">
        <f t="shared" si="82"/>
        <v>No</v>
      </c>
      <c r="T843" t="str" cm="1">
        <f t="array" ref="T843">_xlfn.IFS(A842&lt;30,"18-29",A842&lt;40,"30-39",A842&lt;50,"40-49",A842&lt;60,"50-59",A842&gt;=60,"60+")</f>
        <v>60+</v>
      </c>
      <c r="U843" t="str">
        <f t="shared" si="83"/>
        <v>High (Stage 1)</v>
      </c>
    </row>
    <row r="844" spans="1:21">
      <c r="A844">
        <v>58</v>
      </c>
      <c r="B844">
        <v>1</v>
      </c>
      <c r="C844">
        <v>2</v>
      </c>
      <c r="D844">
        <v>112</v>
      </c>
      <c r="E844">
        <v>230</v>
      </c>
      <c r="F844">
        <v>0</v>
      </c>
      <c r="G844">
        <v>0</v>
      </c>
      <c r="H844">
        <v>165</v>
      </c>
      <c r="I844">
        <v>0</v>
      </c>
      <c r="J844">
        <v>2.5</v>
      </c>
      <c r="K844">
        <v>1</v>
      </c>
      <c r="L844">
        <v>1</v>
      </c>
      <c r="M844">
        <v>3</v>
      </c>
      <c r="N844">
        <v>0</v>
      </c>
      <c r="O844" t="str">
        <f t="shared" si="78"/>
        <v>Male</v>
      </c>
      <c r="P844" t="str">
        <f t="shared" si="79"/>
        <v>No Disease</v>
      </c>
      <c r="Q844" t="str">
        <f t="shared" si="80"/>
        <v>Non-Anginal Pain</v>
      </c>
      <c r="R844" t="str">
        <f t="shared" si="81"/>
        <v>Normal</v>
      </c>
      <c r="S844" t="str">
        <f t="shared" si="82"/>
        <v>No</v>
      </c>
      <c r="T844" t="str" cm="1">
        <f t="array" ref="T844">_xlfn.IFS(A843&lt;30,"18-29",A843&lt;40,"30-39",A843&lt;50,"40-49",A843&lt;60,"50-59",A843&gt;=60,"60+")</f>
        <v>30-39</v>
      </c>
      <c r="U844" t="str">
        <f t="shared" si="83"/>
        <v>Normal</v>
      </c>
    </row>
    <row r="845" spans="1:21">
      <c r="A845">
        <v>59</v>
      </c>
      <c r="B845">
        <v>1</v>
      </c>
      <c r="C845">
        <v>3</v>
      </c>
      <c r="D845">
        <v>160</v>
      </c>
      <c r="E845">
        <v>273</v>
      </c>
      <c r="F845">
        <v>0</v>
      </c>
      <c r="G845">
        <v>0</v>
      </c>
      <c r="H845">
        <v>125</v>
      </c>
      <c r="I845">
        <v>0</v>
      </c>
      <c r="J845">
        <v>0</v>
      </c>
      <c r="K845">
        <v>2</v>
      </c>
      <c r="L845">
        <v>0</v>
      </c>
      <c r="M845">
        <v>2</v>
      </c>
      <c r="N845">
        <v>0</v>
      </c>
      <c r="O845" t="str">
        <f t="shared" si="78"/>
        <v>Male</v>
      </c>
      <c r="P845" t="str">
        <f t="shared" si="79"/>
        <v>No Disease</v>
      </c>
      <c r="Q845" t="str">
        <f t="shared" si="80"/>
        <v>Asymptomatic</v>
      </c>
      <c r="R845" t="str">
        <f t="shared" si="81"/>
        <v>Normal</v>
      </c>
      <c r="S845" t="str">
        <f t="shared" si="82"/>
        <v>No</v>
      </c>
      <c r="T845" t="str" cm="1">
        <f t="array" ref="T845">_xlfn.IFS(A844&lt;30,"18-29",A844&lt;40,"30-39",A844&lt;50,"40-49",A844&lt;60,"50-59",A844&gt;=60,"60+")</f>
        <v>50-59</v>
      </c>
      <c r="U845" t="str">
        <f t="shared" si="83"/>
        <v>High (Stage 2)</v>
      </c>
    </row>
    <row r="846" spans="1:21">
      <c r="A846">
        <v>60</v>
      </c>
      <c r="B846">
        <v>1</v>
      </c>
      <c r="C846">
        <v>0</v>
      </c>
      <c r="D846">
        <v>140</v>
      </c>
      <c r="E846">
        <v>293</v>
      </c>
      <c r="F846">
        <v>0</v>
      </c>
      <c r="G846">
        <v>0</v>
      </c>
      <c r="H846">
        <v>170</v>
      </c>
      <c r="I846">
        <v>0</v>
      </c>
      <c r="J846">
        <v>1.2</v>
      </c>
      <c r="K846">
        <v>1</v>
      </c>
      <c r="L846">
        <v>2</v>
      </c>
      <c r="M846">
        <v>3</v>
      </c>
      <c r="N846">
        <v>0</v>
      </c>
      <c r="O846" t="str">
        <f t="shared" si="78"/>
        <v>Male</v>
      </c>
      <c r="P846" t="str">
        <f t="shared" si="79"/>
        <v>No Disease</v>
      </c>
      <c r="Q846" t="str">
        <f t="shared" si="80"/>
        <v>Typical Angina</v>
      </c>
      <c r="R846" t="str">
        <f t="shared" si="81"/>
        <v>Normal</v>
      </c>
      <c r="S846" t="str">
        <f t="shared" si="82"/>
        <v>No</v>
      </c>
      <c r="T846" t="str" cm="1">
        <f t="array" ref="T846">_xlfn.IFS(A845&lt;30,"18-29",A845&lt;40,"30-39",A845&lt;50,"40-49",A845&lt;60,"50-59",A845&gt;=60,"60+")</f>
        <v>50-59</v>
      </c>
      <c r="U846" t="str">
        <f t="shared" si="83"/>
        <v>High (Stage 2)</v>
      </c>
    </row>
    <row r="847" spans="1:21">
      <c r="A847">
        <v>56</v>
      </c>
      <c r="B847">
        <v>1</v>
      </c>
      <c r="C847">
        <v>0</v>
      </c>
      <c r="D847">
        <v>132</v>
      </c>
      <c r="E847">
        <v>184</v>
      </c>
      <c r="F847">
        <v>0</v>
      </c>
      <c r="G847">
        <v>0</v>
      </c>
      <c r="H847">
        <v>105</v>
      </c>
      <c r="I847">
        <v>1</v>
      </c>
      <c r="J847">
        <v>2.1</v>
      </c>
      <c r="K847">
        <v>1</v>
      </c>
      <c r="L847">
        <v>1</v>
      </c>
      <c r="M847">
        <v>1</v>
      </c>
      <c r="N847">
        <v>0</v>
      </c>
      <c r="O847" t="str">
        <f t="shared" si="78"/>
        <v>Male</v>
      </c>
      <c r="P847" t="str">
        <f t="shared" si="79"/>
        <v>No Disease</v>
      </c>
      <c r="Q847" t="str">
        <f t="shared" si="80"/>
        <v>Typical Angina</v>
      </c>
      <c r="R847" t="str">
        <f t="shared" si="81"/>
        <v>Normal</v>
      </c>
      <c r="S847" t="str">
        <f t="shared" si="82"/>
        <v>Yes</v>
      </c>
      <c r="T847" t="str" cm="1">
        <f t="array" ref="T847">_xlfn.IFS(A846&lt;30,"18-29",A846&lt;40,"30-39",A846&lt;50,"40-49",A846&lt;60,"50-59",A846&gt;=60,"60+")</f>
        <v>60+</v>
      </c>
      <c r="U847" t="str">
        <f t="shared" si="83"/>
        <v>High (Stage 1)</v>
      </c>
    </row>
    <row r="848" spans="1:21">
      <c r="A848">
        <v>35</v>
      </c>
      <c r="B848">
        <v>0</v>
      </c>
      <c r="C848">
        <v>0</v>
      </c>
      <c r="D848">
        <v>138</v>
      </c>
      <c r="E848">
        <v>183</v>
      </c>
      <c r="F848">
        <v>0</v>
      </c>
      <c r="G848">
        <v>1</v>
      </c>
      <c r="H848">
        <v>182</v>
      </c>
      <c r="I848">
        <v>0</v>
      </c>
      <c r="J848">
        <v>1.4</v>
      </c>
      <c r="K848">
        <v>2</v>
      </c>
      <c r="L848">
        <v>0</v>
      </c>
      <c r="M848">
        <v>2</v>
      </c>
      <c r="N848">
        <v>1</v>
      </c>
      <c r="O848" t="str">
        <f t="shared" si="78"/>
        <v>Female</v>
      </c>
      <c r="P848" t="str">
        <f t="shared" si="79"/>
        <v>Heart Disease</v>
      </c>
      <c r="Q848" t="str">
        <f t="shared" si="80"/>
        <v>Typical Angina</v>
      </c>
      <c r="R848" t="str">
        <f t="shared" si="81"/>
        <v>Normal</v>
      </c>
      <c r="S848" t="str">
        <f t="shared" si="82"/>
        <v>No</v>
      </c>
      <c r="T848" t="str" cm="1">
        <f t="array" ref="T848">_xlfn.IFS(A847&lt;30,"18-29",A847&lt;40,"30-39",A847&lt;50,"40-49",A847&lt;60,"50-59",A847&gt;=60,"60+")</f>
        <v>50-59</v>
      </c>
      <c r="U848" t="str">
        <f t="shared" si="83"/>
        <v>High (Stage 1)</v>
      </c>
    </row>
    <row r="849" spans="1:21">
      <c r="A849">
        <v>61</v>
      </c>
      <c r="B849">
        <v>1</v>
      </c>
      <c r="C849">
        <v>0</v>
      </c>
      <c r="D849">
        <v>138</v>
      </c>
      <c r="E849">
        <v>166</v>
      </c>
      <c r="F849">
        <v>0</v>
      </c>
      <c r="G849">
        <v>0</v>
      </c>
      <c r="H849">
        <v>125</v>
      </c>
      <c r="I849">
        <v>1</v>
      </c>
      <c r="J849">
        <v>3.6</v>
      </c>
      <c r="K849">
        <v>1</v>
      </c>
      <c r="L849">
        <v>1</v>
      </c>
      <c r="M849">
        <v>2</v>
      </c>
      <c r="N849">
        <v>0</v>
      </c>
      <c r="O849" t="str">
        <f t="shared" si="78"/>
        <v>Male</v>
      </c>
      <c r="P849" t="str">
        <f t="shared" si="79"/>
        <v>No Disease</v>
      </c>
      <c r="Q849" t="str">
        <f t="shared" si="80"/>
        <v>Typical Angina</v>
      </c>
      <c r="R849" t="str">
        <f t="shared" si="81"/>
        <v>Normal</v>
      </c>
      <c r="S849" t="str">
        <f t="shared" si="82"/>
        <v>Yes</v>
      </c>
      <c r="T849" t="str" cm="1">
        <f t="array" ref="T849">_xlfn.IFS(A848&lt;30,"18-29",A848&lt;40,"30-39",A848&lt;50,"40-49",A848&lt;60,"50-59",A848&gt;=60,"60+")</f>
        <v>30-39</v>
      </c>
      <c r="U849" t="str">
        <f t="shared" si="83"/>
        <v>High (Stage 1)</v>
      </c>
    </row>
    <row r="850" spans="1:21">
      <c r="A850">
        <v>58</v>
      </c>
      <c r="B850">
        <v>0</v>
      </c>
      <c r="C850">
        <v>3</v>
      </c>
      <c r="D850">
        <v>150</v>
      </c>
      <c r="E850">
        <v>283</v>
      </c>
      <c r="F850">
        <v>1</v>
      </c>
      <c r="G850">
        <v>0</v>
      </c>
      <c r="H850">
        <v>162</v>
      </c>
      <c r="I850">
        <v>0</v>
      </c>
      <c r="J850">
        <v>1</v>
      </c>
      <c r="K850">
        <v>2</v>
      </c>
      <c r="L850">
        <v>0</v>
      </c>
      <c r="M850">
        <v>2</v>
      </c>
      <c r="N850">
        <v>1</v>
      </c>
      <c r="O850" t="str">
        <f t="shared" si="78"/>
        <v>Female</v>
      </c>
      <c r="P850" t="str">
        <f t="shared" si="79"/>
        <v>Heart Disease</v>
      </c>
      <c r="Q850" t="str">
        <f t="shared" si="80"/>
        <v>Asymptomatic</v>
      </c>
      <c r="R850" t="str">
        <f t="shared" si="81"/>
        <v>High</v>
      </c>
      <c r="S850" t="str">
        <f t="shared" si="82"/>
        <v>No</v>
      </c>
      <c r="T850" t="str" cm="1">
        <f t="array" ref="T850">_xlfn.IFS(A849&lt;30,"18-29",A849&lt;40,"30-39",A849&lt;50,"40-49",A849&lt;60,"50-59",A849&gt;=60,"60+")</f>
        <v>60+</v>
      </c>
      <c r="U850" t="str">
        <f t="shared" si="83"/>
        <v>High (Stage 2)</v>
      </c>
    </row>
    <row r="851" spans="1:21">
      <c r="A851">
        <v>52</v>
      </c>
      <c r="B851">
        <v>1</v>
      </c>
      <c r="C851">
        <v>0</v>
      </c>
      <c r="D851">
        <v>128</v>
      </c>
      <c r="E851">
        <v>255</v>
      </c>
      <c r="F851">
        <v>0</v>
      </c>
      <c r="G851">
        <v>1</v>
      </c>
      <c r="H851">
        <v>161</v>
      </c>
      <c r="I851">
        <v>1</v>
      </c>
      <c r="J851">
        <v>0</v>
      </c>
      <c r="K851">
        <v>2</v>
      </c>
      <c r="L851">
        <v>1</v>
      </c>
      <c r="M851">
        <v>3</v>
      </c>
      <c r="N851">
        <v>0</v>
      </c>
      <c r="O851" t="str">
        <f t="shared" si="78"/>
        <v>Male</v>
      </c>
      <c r="P851" t="str">
        <f t="shared" si="79"/>
        <v>No Disease</v>
      </c>
      <c r="Q851" t="str">
        <f t="shared" si="80"/>
        <v>Typical Angina</v>
      </c>
      <c r="R851" t="str">
        <f t="shared" si="81"/>
        <v>Normal</v>
      </c>
      <c r="S851" t="str">
        <f t="shared" si="82"/>
        <v>Yes</v>
      </c>
      <c r="T851" t="str" cm="1">
        <f t="array" ref="T851">_xlfn.IFS(A850&lt;30,"18-29",A850&lt;40,"30-39",A850&lt;50,"40-49",A850&lt;60,"50-59",A850&gt;=60,"60+")</f>
        <v>50-59</v>
      </c>
      <c r="U851" t="str">
        <f t="shared" si="83"/>
        <v>Elevated</v>
      </c>
    </row>
    <row r="852" spans="1:21">
      <c r="A852">
        <v>58</v>
      </c>
      <c r="B852">
        <v>1</v>
      </c>
      <c r="C852">
        <v>1</v>
      </c>
      <c r="D852">
        <v>120</v>
      </c>
      <c r="E852">
        <v>284</v>
      </c>
      <c r="F852">
        <v>0</v>
      </c>
      <c r="G852">
        <v>0</v>
      </c>
      <c r="H852">
        <v>160</v>
      </c>
      <c r="I852">
        <v>0</v>
      </c>
      <c r="J852">
        <v>1.8</v>
      </c>
      <c r="K852">
        <v>1</v>
      </c>
      <c r="L852">
        <v>0</v>
      </c>
      <c r="M852">
        <v>2</v>
      </c>
      <c r="N852">
        <v>0</v>
      </c>
      <c r="O852" t="str">
        <f t="shared" si="78"/>
        <v>Male</v>
      </c>
      <c r="P852" t="str">
        <f t="shared" si="79"/>
        <v>No Disease</v>
      </c>
      <c r="Q852" t="str">
        <f t="shared" si="80"/>
        <v>Atypical Angina</v>
      </c>
      <c r="R852" t="str">
        <f t="shared" si="81"/>
        <v>Normal</v>
      </c>
      <c r="S852" t="str">
        <f t="shared" si="82"/>
        <v>No</v>
      </c>
      <c r="T852" t="str" cm="1">
        <f t="array" ref="T852">_xlfn.IFS(A851&lt;30,"18-29",A851&lt;40,"30-39",A851&lt;50,"40-49",A851&lt;60,"50-59",A851&gt;=60,"60+")</f>
        <v>50-59</v>
      </c>
      <c r="U852" t="str">
        <f t="shared" si="83"/>
        <v>Elevated</v>
      </c>
    </row>
    <row r="853" spans="1:21">
      <c r="A853">
        <v>37</v>
      </c>
      <c r="B853">
        <v>1</v>
      </c>
      <c r="C853">
        <v>2</v>
      </c>
      <c r="D853">
        <v>130</v>
      </c>
      <c r="E853">
        <v>250</v>
      </c>
      <c r="F853">
        <v>0</v>
      </c>
      <c r="G853">
        <v>1</v>
      </c>
      <c r="H853">
        <v>187</v>
      </c>
      <c r="I853">
        <v>0</v>
      </c>
      <c r="J853">
        <v>3.5</v>
      </c>
      <c r="K853">
        <v>0</v>
      </c>
      <c r="L853">
        <v>0</v>
      </c>
      <c r="M853">
        <v>2</v>
      </c>
      <c r="N853">
        <v>1</v>
      </c>
      <c r="O853" t="str">
        <f t="shared" si="78"/>
        <v>Male</v>
      </c>
      <c r="P853" t="str">
        <f t="shared" si="79"/>
        <v>Heart Disease</v>
      </c>
      <c r="Q853" t="str">
        <f t="shared" si="80"/>
        <v>Non-Anginal Pain</v>
      </c>
      <c r="R853" t="str">
        <f t="shared" si="81"/>
        <v>Normal</v>
      </c>
      <c r="S853" t="str">
        <f t="shared" si="82"/>
        <v>No</v>
      </c>
      <c r="T853" t="str" cm="1">
        <f t="array" ref="T853">_xlfn.IFS(A852&lt;30,"18-29",A852&lt;40,"30-39",A852&lt;50,"40-49",A852&lt;60,"50-59",A852&gt;=60,"60+")</f>
        <v>50-59</v>
      </c>
      <c r="U853" t="str">
        <f t="shared" si="83"/>
        <v>High (Stage 1)</v>
      </c>
    </row>
    <row r="854" spans="1:21">
      <c r="A854">
        <v>52</v>
      </c>
      <c r="B854">
        <v>1</v>
      </c>
      <c r="C854">
        <v>0</v>
      </c>
      <c r="D854">
        <v>128</v>
      </c>
      <c r="E854">
        <v>255</v>
      </c>
      <c r="F854">
        <v>0</v>
      </c>
      <c r="G854">
        <v>1</v>
      </c>
      <c r="H854">
        <v>161</v>
      </c>
      <c r="I854">
        <v>1</v>
      </c>
      <c r="J854">
        <v>0</v>
      </c>
      <c r="K854">
        <v>2</v>
      </c>
      <c r="L854">
        <v>1</v>
      </c>
      <c r="M854">
        <v>3</v>
      </c>
      <c r="N854">
        <v>0</v>
      </c>
      <c r="O854" t="str">
        <f t="shared" si="78"/>
        <v>Male</v>
      </c>
      <c r="P854" t="str">
        <f t="shared" si="79"/>
        <v>No Disease</v>
      </c>
      <c r="Q854" t="str">
        <f t="shared" si="80"/>
        <v>Typical Angina</v>
      </c>
      <c r="R854" t="str">
        <f t="shared" si="81"/>
        <v>Normal</v>
      </c>
      <c r="S854" t="str">
        <f t="shared" si="82"/>
        <v>Yes</v>
      </c>
      <c r="T854" t="str" cm="1">
        <f t="array" ref="T854">_xlfn.IFS(A853&lt;30,"18-29",A853&lt;40,"30-39",A853&lt;50,"40-49",A853&lt;60,"50-59",A853&gt;=60,"60+")</f>
        <v>30-39</v>
      </c>
      <c r="U854" t="str">
        <f t="shared" si="83"/>
        <v>Elevated</v>
      </c>
    </row>
    <row r="855" spans="1:21">
      <c r="A855">
        <v>67</v>
      </c>
      <c r="B855">
        <v>1</v>
      </c>
      <c r="C855">
        <v>0</v>
      </c>
      <c r="D855">
        <v>120</v>
      </c>
      <c r="E855">
        <v>229</v>
      </c>
      <c r="F855">
        <v>0</v>
      </c>
      <c r="G855">
        <v>0</v>
      </c>
      <c r="H855">
        <v>129</v>
      </c>
      <c r="I855">
        <v>1</v>
      </c>
      <c r="J855">
        <v>2.6</v>
      </c>
      <c r="K855">
        <v>1</v>
      </c>
      <c r="L855">
        <v>2</v>
      </c>
      <c r="M855">
        <v>3</v>
      </c>
      <c r="N855">
        <v>0</v>
      </c>
      <c r="O855" t="str">
        <f t="shared" si="78"/>
        <v>Male</v>
      </c>
      <c r="P855" t="str">
        <f t="shared" si="79"/>
        <v>No Disease</v>
      </c>
      <c r="Q855" t="str">
        <f t="shared" si="80"/>
        <v>Typical Angina</v>
      </c>
      <c r="R855" t="str">
        <f t="shared" si="81"/>
        <v>Normal</v>
      </c>
      <c r="S855" t="str">
        <f t="shared" si="82"/>
        <v>Yes</v>
      </c>
      <c r="T855" t="str" cm="1">
        <f t="array" ref="T855">_xlfn.IFS(A854&lt;30,"18-29",A854&lt;40,"30-39",A854&lt;50,"40-49",A854&lt;60,"50-59",A854&gt;=60,"60+")</f>
        <v>50-59</v>
      </c>
      <c r="U855" t="str">
        <f t="shared" si="83"/>
        <v>Elevated</v>
      </c>
    </row>
    <row r="856" spans="1:21">
      <c r="A856">
        <v>65</v>
      </c>
      <c r="B856">
        <v>1</v>
      </c>
      <c r="C856">
        <v>3</v>
      </c>
      <c r="D856">
        <v>138</v>
      </c>
      <c r="E856">
        <v>282</v>
      </c>
      <c r="F856">
        <v>1</v>
      </c>
      <c r="G856">
        <v>0</v>
      </c>
      <c r="H856">
        <v>174</v>
      </c>
      <c r="I856">
        <v>0</v>
      </c>
      <c r="J856">
        <v>1.4</v>
      </c>
      <c r="K856">
        <v>1</v>
      </c>
      <c r="L856">
        <v>1</v>
      </c>
      <c r="M856">
        <v>2</v>
      </c>
      <c r="N856">
        <v>0</v>
      </c>
      <c r="O856" t="str">
        <f t="shared" si="78"/>
        <v>Male</v>
      </c>
      <c r="P856" t="str">
        <f t="shared" si="79"/>
        <v>No Disease</v>
      </c>
      <c r="Q856" t="str">
        <f t="shared" si="80"/>
        <v>Asymptomatic</v>
      </c>
      <c r="R856" t="str">
        <f t="shared" si="81"/>
        <v>High</v>
      </c>
      <c r="S856" t="str">
        <f t="shared" si="82"/>
        <v>No</v>
      </c>
      <c r="T856" t="str" cm="1">
        <f t="array" ref="T856">_xlfn.IFS(A855&lt;30,"18-29",A855&lt;40,"30-39",A855&lt;50,"40-49",A855&lt;60,"50-59",A855&gt;=60,"60+")</f>
        <v>60+</v>
      </c>
      <c r="U856" t="str">
        <f t="shared" si="83"/>
        <v>High (Stage 1)</v>
      </c>
    </row>
    <row r="857" spans="1:21">
      <c r="A857">
        <v>46</v>
      </c>
      <c r="B857">
        <v>1</v>
      </c>
      <c r="C857">
        <v>1</v>
      </c>
      <c r="D857">
        <v>101</v>
      </c>
      <c r="E857">
        <v>197</v>
      </c>
      <c r="F857">
        <v>1</v>
      </c>
      <c r="G857">
        <v>1</v>
      </c>
      <c r="H857">
        <v>156</v>
      </c>
      <c r="I857">
        <v>0</v>
      </c>
      <c r="J857">
        <v>0</v>
      </c>
      <c r="K857">
        <v>2</v>
      </c>
      <c r="L857">
        <v>0</v>
      </c>
      <c r="M857">
        <v>3</v>
      </c>
      <c r="N857">
        <v>1</v>
      </c>
      <c r="O857" t="str">
        <f t="shared" si="78"/>
        <v>Male</v>
      </c>
      <c r="P857" t="str">
        <f t="shared" si="79"/>
        <v>Heart Disease</v>
      </c>
      <c r="Q857" t="str">
        <f t="shared" si="80"/>
        <v>Atypical Angina</v>
      </c>
      <c r="R857" t="str">
        <f t="shared" si="81"/>
        <v>High</v>
      </c>
      <c r="S857" t="str">
        <f t="shared" si="82"/>
        <v>No</v>
      </c>
      <c r="T857" t="str" cm="1">
        <f t="array" ref="T857">_xlfn.IFS(A856&lt;30,"18-29",A856&lt;40,"30-39",A856&lt;50,"40-49",A856&lt;60,"50-59",A856&gt;=60,"60+")</f>
        <v>60+</v>
      </c>
      <c r="U857" t="str">
        <f t="shared" si="83"/>
        <v>Normal</v>
      </c>
    </row>
    <row r="858" spans="1:21">
      <c r="A858">
        <v>68</v>
      </c>
      <c r="B858">
        <v>0</v>
      </c>
      <c r="C858">
        <v>2</v>
      </c>
      <c r="D858">
        <v>120</v>
      </c>
      <c r="E858">
        <v>211</v>
      </c>
      <c r="F858">
        <v>0</v>
      </c>
      <c r="G858">
        <v>0</v>
      </c>
      <c r="H858">
        <v>115</v>
      </c>
      <c r="I858">
        <v>0</v>
      </c>
      <c r="J858">
        <v>1.5</v>
      </c>
      <c r="K858">
        <v>1</v>
      </c>
      <c r="L858">
        <v>0</v>
      </c>
      <c r="M858">
        <v>2</v>
      </c>
      <c r="N858">
        <v>1</v>
      </c>
      <c r="O858" t="str">
        <f t="shared" si="78"/>
        <v>Female</v>
      </c>
      <c r="P858" t="str">
        <f t="shared" si="79"/>
        <v>Heart Disease</v>
      </c>
      <c r="Q858" t="str">
        <f t="shared" si="80"/>
        <v>Non-Anginal Pain</v>
      </c>
      <c r="R858" t="str">
        <f t="shared" si="81"/>
        <v>Normal</v>
      </c>
      <c r="S858" t="str">
        <f t="shared" si="82"/>
        <v>No</v>
      </c>
      <c r="T858" t="str" cm="1">
        <f t="array" ref="T858">_xlfn.IFS(A857&lt;30,"18-29",A857&lt;40,"30-39",A857&lt;50,"40-49",A857&lt;60,"50-59",A857&gt;=60,"60+")</f>
        <v>40-49</v>
      </c>
      <c r="U858" t="str">
        <f t="shared" si="83"/>
        <v>Elevated</v>
      </c>
    </row>
    <row r="859" spans="1:21">
      <c r="A859">
        <v>43</v>
      </c>
      <c r="B859">
        <v>1</v>
      </c>
      <c r="C859">
        <v>0</v>
      </c>
      <c r="D859">
        <v>115</v>
      </c>
      <c r="E859">
        <v>303</v>
      </c>
      <c r="F859">
        <v>0</v>
      </c>
      <c r="G859">
        <v>1</v>
      </c>
      <c r="H859">
        <v>181</v>
      </c>
      <c r="I859">
        <v>0</v>
      </c>
      <c r="J859">
        <v>1.2</v>
      </c>
      <c r="K859">
        <v>1</v>
      </c>
      <c r="L859">
        <v>0</v>
      </c>
      <c r="M859">
        <v>2</v>
      </c>
      <c r="N859">
        <v>1</v>
      </c>
      <c r="O859" t="str">
        <f t="shared" si="78"/>
        <v>Male</v>
      </c>
      <c r="P859" t="str">
        <f t="shared" si="79"/>
        <v>Heart Disease</v>
      </c>
      <c r="Q859" t="str">
        <f t="shared" si="80"/>
        <v>Typical Angina</v>
      </c>
      <c r="R859" t="str">
        <f t="shared" si="81"/>
        <v>Normal</v>
      </c>
      <c r="S859" t="str">
        <f t="shared" si="82"/>
        <v>No</v>
      </c>
      <c r="T859" t="str" cm="1">
        <f t="array" ref="T859">_xlfn.IFS(A858&lt;30,"18-29",A858&lt;40,"30-39",A858&lt;50,"40-49",A858&lt;60,"50-59",A858&gt;=60,"60+")</f>
        <v>60+</v>
      </c>
      <c r="U859" t="str">
        <f t="shared" si="83"/>
        <v>Normal</v>
      </c>
    </row>
    <row r="860" spans="1:21">
      <c r="A860">
        <v>68</v>
      </c>
      <c r="B860">
        <v>0</v>
      </c>
      <c r="C860">
        <v>2</v>
      </c>
      <c r="D860">
        <v>120</v>
      </c>
      <c r="E860">
        <v>211</v>
      </c>
      <c r="F860">
        <v>0</v>
      </c>
      <c r="G860">
        <v>0</v>
      </c>
      <c r="H860">
        <v>115</v>
      </c>
      <c r="I860">
        <v>0</v>
      </c>
      <c r="J860">
        <v>1.5</v>
      </c>
      <c r="K860">
        <v>1</v>
      </c>
      <c r="L860">
        <v>0</v>
      </c>
      <c r="M860">
        <v>2</v>
      </c>
      <c r="N860">
        <v>1</v>
      </c>
      <c r="O860" t="str">
        <f t="shared" si="78"/>
        <v>Female</v>
      </c>
      <c r="P860" t="str">
        <f t="shared" si="79"/>
        <v>Heart Disease</v>
      </c>
      <c r="Q860" t="str">
        <f t="shared" si="80"/>
        <v>Non-Anginal Pain</v>
      </c>
      <c r="R860" t="str">
        <f t="shared" si="81"/>
        <v>Normal</v>
      </c>
      <c r="S860" t="str">
        <f t="shared" si="82"/>
        <v>No</v>
      </c>
      <c r="T860" t="str" cm="1">
        <f t="array" ref="T860">_xlfn.IFS(A859&lt;30,"18-29",A859&lt;40,"30-39",A859&lt;50,"40-49",A859&lt;60,"50-59",A859&gt;=60,"60+")</f>
        <v>40-49</v>
      </c>
      <c r="U860" t="str">
        <f t="shared" si="83"/>
        <v>Elevated</v>
      </c>
    </row>
    <row r="861" spans="1:21">
      <c r="A861">
        <v>51</v>
      </c>
      <c r="B861">
        <v>1</v>
      </c>
      <c r="C861">
        <v>0</v>
      </c>
      <c r="D861">
        <v>140</v>
      </c>
      <c r="E861">
        <v>299</v>
      </c>
      <c r="F861">
        <v>0</v>
      </c>
      <c r="G861">
        <v>1</v>
      </c>
      <c r="H861">
        <v>173</v>
      </c>
      <c r="I861">
        <v>1</v>
      </c>
      <c r="J861">
        <v>1.6</v>
      </c>
      <c r="K861">
        <v>2</v>
      </c>
      <c r="L861">
        <v>0</v>
      </c>
      <c r="M861">
        <v>3</v>
      </c>
      <c r="N861">
        <v>0</v>
      </c>
      <c r="O861" t="str">
        <f t="shared" si="78"/>
        <v>Male</v>
      </c>
      <c r="P861" t="str">
        <f t="shared" si="79"/>
        <v>No Disease</v>
      </c>
      <c r="Q861" t="str">
        <f t="shared" si="80"/>
        <v>Typical Angina</v>
      </c>
      <c r="R861" t="str">
        <f t="shared" si="81"/>
        <v>Normal</v>
      </c>
      <c r="S861" t="str">
        <f t="shared" si="82"/>
        <v>Yes</v>
      </c>
      <c r="T861" t="str" cm="1">
        <f t="array" ref="T861">_xlfn.IFS(A860&lt;30,"18-29",A860&lt;40,"30-39",A860&lt;50,"40-49",A860&lt;60,"50-59",A860&gt;=60,"60+")</f>
        <v>60+</v>
      </c>
      <c r="U861" t="str">
        <f t="shared" si="83"/>
        <v>High (Stage 2)</v>
      </c>
    </row>
    <row r="862" spans="1:21">
      <c r="A862">
        <v>52</v>
      </c>
      <c r="B862">
        <v>1</v>
      </c>
      <c r="C862">
        <v>0</v>
      </c>
      <c r="D862">
        <v>112</v>
      </c>
      <c r="E862">
        <v>230</v>
      </c>
      <c r="F862">
        <v>0</v>
      </c>
      <c r="G862">
        <v>1</v>
      </c>
      <c r="H862">
        <v>160</v>
      </c>
      <c r="I862">
        <v>0</v>
      </c>
      <c r="J862">
        <v>0</v>
      </c>
      <c r="K862">
        <v>2</v>
      </c>
      <c r="L862">
        <v>1</v>
      </c>
      <c r="M862">
        <v>2</v>
      </c>
      <c r="N862">
        <v>0</v>
      </c>
      <c r="O862" t="str">
        <f t="shared" si="78"/>
        <v>Male</v>
      </c>
      <c r="P862" t="str">
        <f t="shared" si="79"/>
        <v>No Disease</v>
      </c>
      <c r="Q862" t="str">
        <f t="shared" si="80"/>
        <v>Typical Angina</v>
      </c>
      <c r="R862" t="str">
        <f t="shared" si="81"/>
        <v>Normal</v>
      </c>
      <c r="S862" t="str">
        <f t="shared" si="82"/>
        <v>No</v>
      </c>
      <c r="T862" t="str" cm="1">
        <f t="array" ref="T862">_xlfn.IFS(A861&lt;30,"18-29",A861&lt;40,"30-39",A861&lt;50,"40-49",A861&lt;60,"50-59",A861&gt;=60,"60+")</f>
        <v>50-59</v>
      </c>
      <c r="U862" t="str">
        <f t="shared" si="83"/>
        <v>Normal</v>
      </c>
    </row>
    <row r="863" spans="1:21">
      <c r="A863">
        <v>64</v>
      </c>
      <c r="B863">
        <v>1</v>
      </c>
      <c r="C863">
        <v>2</v>
      </c>
      <c r="D863">
        <v>140</v>
      </c>
      <c r="E863">
        <v>335</v>
      </c>
      <c r="F863">
        <v>0</v>
      </c>
      <c r="G863">
        <v>1</v>
      </c>
      <c r="H863">
        <v>158</v>
      </c>
      <c r="I863">
        <v>0</v>
      </c>
      <c r="J863">
        <v>0</v>
      </c>
      <c r="K863">
        <v>2</v>
      </c>
      <c r="L863">
        <v>0</v>
      </c>
      <c r="M863">
        <v>2</v>
      </c>
      <c r="N863">
        <v>0</v>
      </c>
      <c r="O863" t="str">
        <f t="shared" si="78"/>
        <v>Male</v>
      </c>
      <c r="P863" t="str">
        <f t="shared" si="79"/>
        <v>No Disease</v>
      </c>
      <c r="Q863" t="str">
        <f t="shared" si="80"/>
        <v>Non-Anginal Pain</v>
      </c>
      <c r="R863" t="str">
        <f t="shared" si="81"/>
        <v>Normal</v>
      </c>
      <c r="S863" t="str">
        <f t="shared" si="82"/>
        <v>No</v>
      </c>
      <c r="T863" t="str" cm="1">
        <f t="array" ref="T863">_xlfn.IFS(A862&lt;30,"18-29",A862&lt;40,"30-39",A862&lt;50,"40-49",A862&lt;60,"50-59",A862&gt;=60,"60+")</f>
        <v>50-59</v>
      </c>
      <c r="U863" t="str">
        <f t="shared" si="83"/>
        <v>High (Stage 2)</v>
      </c>
    </row>
    <row r="864" spans="1:21">
      <c r="A864">
        <v>59</v>
      </c>
      <c r="B864">
        <v>1</v>
      </c>
      <c r="C864">
        <v>3</v>
      </c>
      <c r="D864">
        <v>170</v>
      </c>
      <c r="E864">
        <v>288</v>
      </c>
      <c r="F864">
        <v>0</v>
      </c>
      <c r="G864">
        <v>0</v>
      </c>
      <c r="H864">
        <v>159</v>
      </c>
      <c r="I864">
        <v>0</v>
      </c>
      <c r="J864">
        <v>0.2</v>
      </c>
      <c r="K864">
        <v>1</v>
      </c>
      <c r="L864">
        <v>0</v>
      </c>
      <c r="M864">
        <v>3</v>
      </c>
      <c r="N864">
        <v>0</v>
      </c>
      <c r="O864" t="str">
        <f t="shared" si="78"/>
        <v>Male</v>
      </c>
      <c r="P864" t="str">
        <f t="shared" si="79"/>
        <v>No Disease</v>
      </c>
      <c r="Q864" t="str">
        <f t="shared" si="80"/>
        <v>Asymptomatic</v>
      </c>
      <c r="R864" t="str">
        <f t="shared" si="81"/>
        <v>Normal</v>
      </c>
      <c r="S864" t="str">
        <f t="shared" si="82"/>
        <v>No</v>
      </c>
      <c r="T864" t="str" cm="1">
        <f t="array" ref="T864">_xlfn.IFS(A863&lt;30,"18-29",A863&lt;40,"30-39",A863&lt;50,"40-49",A863&lt;60,"50-59",A863&gt;=60,"60+")</f>
        <v>60+</v>
      </c>
      <c r="U864" t="str">
        <f t="shared" si="83"/>
        <v>High (Stage 2)</v>
      </c>
    </row>
    <row r="865" spans="1:21">
      <c r="A865">
        <v>52</v>
      </c>
      <c r="B865">
        <v>1</v>
      </c>
      <c r="C865">
        <v>0</v>
      </c>
      <c r="D865">
        <v>125</v>
      </c>
      <c r="E865">
        <v>212</v>
      </c>
      <c r="F865">
        <v>0</v>
      </c>
      <c r="G865">
        <v>1</v>
      </c>
      <c r="H865">
        <v>168</v>
      </c>
      <c r="I865">
        <v>0</v>
      </c>
      <c r="J865">
        <v>1</v>
      </c>
      <c r="K865">
        <v>2</v>
      </c>
      <c r="L865">
        <v>2</v>
      </c>
      <c r="M865">
        <v>3</v>
      </c>
      <c r="N865">
        <v>0</v>
      </c>
      <c r="O865" t="str">
        <f t="shared" si="78"/>
        <v>Male</v>
      </c>
      <c r="P865" t="str">
        <f t="shared" si="79"/>
        <v>No Disease</v>
      </c>
      <c r="Q865" t="str">
        <f t="shared" si="80"/>
        <v>Typical Angina</v>
      </c>
      <c r="R865" t="str">
        <f t="shared" si="81"/>
        <v>Normal</v>
      </c>
      <c r="S865" t="str">
        <f t="shared" si="82"/>
        <v>No</v>
      </c>
      <c r="T865" t="str" cm="1">
        <f t="array" ref="T865">_xlfn.IFS(A864&lt;30,"18-29",A864&lt;40,"30-39",A864&lt;50,"40-49",A864&lt;60,"50-59",A864&gt;=60,"60+")</f>
        <v>50-59</v>
      </c>
      <c r="U865" t="str">
        <f t="shared" si="83"/>
        <v>Elevated</v>
      </c>
    </row>
    <row r="866" spans="1:21">
      <c r="A866">
        <v>59</v>
      </c>
      <c r="B866">
        <v>1</v>
      </c>
      <c r="C866">
        <v>3</v>
      </c>
      <c r="D866">
        <v>160</v>
      </c>
      <c r="E866">
        <v>273</v>
      </c>
      <c r="F866">
        <v>0</v>
      </c>
      <c r="G866">
        <v>0</v>
      </c>
      <c r="H866">
        <v>125</v>
      </c>
      <c r="I866">
        <v>0</v>
      </c>
      <c r="J866">
        <v>0</v>
      </c>
      <c r="K866">
        <v>2</v>
      </c>
      <c r="L866">
        <v>0</v>
      </c>
      <c r="M866">
        <v>2</v>
      </c>
      <c r="N866">
        <v>0</v>
      </c>
      <c r="O866" t="str">
        <f t="shared" si="78"/>
        <v>Male</v>
      </c>
      <c r="P866" t="str">
        <f t="shared" si="79"/>
        <v>No Disease</v>
      </c>
      <c r="Q866" t="str">
        <f t="shared" si="80"/>
        <v>Asymptomatic</v>
      </c>
      <c r="R866" t="str">
        <f t="shared" si="81"/>
        <v>Normal</v>
      </c>
      <c r="S866" t="str">
        <f t="shared" si="82"/>
        <v>No</v>
      </c>
      <c r="T866" t="str" cm="1">
        <f t="array" ref="T866">_xlfn.IFS(A865&lt;30,"18-29",A865&lt;40,"30-39",A865&lt;50,"40-49",A865&lt;60,"50-59",A865&gt;=60,"60+")</f>
        <v>50-59</v>
      </c>
      <c r="U866" t="str">
        <f t="shared" si="83"/>
        <v>High (Stage 2)</v>
      </c>
    </row>
    <row r="867" spans="1:21">
      <c r="A867">
        <v>60</v>
      </c>
      <c r="B867">
        <v>0</v>
      </c>
      <c r="C867">
        <v>3</v>
      </c>
      <c r="D867">
        <v>150</v>
      </c>
      <c r="E867">
        <v>240</v>
      </c>
      <c r="F867">
        <v>0</v>
      </c>
      <c r="G867">
        <v>1</v>
      </c>
      <c r="H867">
        <v>171</v>
      </c>
      <c r="I867">
        <v>0</v>
      </c>
      <c r="J867">
        <v>0.9</v>
      </c>
      <c r="K867">
        <v>2</v>
      </c>
      <c r="L867">
        <v>0</v>
      </c>
      <c r="M867">
        <v>2</v>
      </c>
      <c r="N867">
        <v>1</v>
      </c>
      <c r="O867" t="str">
        <f t="shared" si="78"/>
        <v>Female</v>
      </c>
      <c r="P867" t="str">
        <f t="shared" si="79"/>
        <v>Heart Disease</v>
      </c>
      <c r="Q867" t="str">
        <f t="shared" si="80"/>
        <v>Asymptomatic</v>
      </c>
      <c r="R867" t="str">
        <f t="shared" si="81"/>
        <v>Normal</v>
      </c>
      <c r="S867" t="str">
        <f t="shared" si="82"/>
        <v>No</v>
      </c>
      <c r="T867" t="str" cm="1">
        <f t="array" ref="T867">_xlfn.IFS(A866&lt;30,"18-29",A866&lt;40,"30-39",A866&lt;50,"40-49",A866&lt;60,"50-59",A866&gt;=60,"60+")</f>
        <v>50-59</v>
      </c>
      <c r="U867" t="str">
        <f t="shared" si="83"/>
        <v>High (Stage 2)</v>
      </c>
    </row>
    <row r="868" spans="1:21">
      <c r="A868">
        <v>41</v>
      </c>
      <c r="B868">
        <v>1</v>
      </c>
      <c r="C868">
        <v>2</v>
      </c>
      <c r="D868">
        <v>112</v>
      </c>
      <c r="E868">
        <v>250</v>
      </c>
      <c r="F868">
        <v>0</v>
      </c>
      <c r="G868">
        <v>1</v>
      </c>
      <c r="H868">
        <v>179</v>
      </c>
      <c r="I868">
        <v>0</v>
      </c>
      <c r="J868">
        <v>0</v>
      </c>
      <c r="K868">
        <v>2</v>
      </c>
      <c r="L868">
        <v>0</v>
      </c>
      <c r="M868">
        <v>2</v>
      </c>
      <c r="N868">
        <v>1</v>
      </c>
      <c r="O868" t="str">
        <f t="shared" si="78"/>
        <v>Male</v>
      </c>
      <c r="P868" t="str">
        <f t="shared" si="79"/>
        <v>Heart Disease</v>
      </c>
      <c r="Q868" t="str">
        <f t="shared" si="80"/>
        <v>Non-Anginal Pain</v>
      </c>
      <c r="R868" t="str">
        <f t="shared" si="81"/>
        <v>Normal</v>
      </c>
      <c r="S868" t="str">
        <f t="shared" si="82"/>
        <v>No</v>
      </c>
      <c r="T868" t="str" cm="1">
        <f t="array" ref="T868">_xlfn.IFS(A867&lt;30,"18-29",A867&lt;40,"30-39",A867&lt;50,"40-49",A867&lt;60,"50-59",A867&gt;=60,"60+")</f>
        <v>60+</v>
      </c>
      <c r="U868" t="str">
        <f t="shared" si="83"/>
        <v>Normal</v>
      </c>
    </row>
    <row r="869" spans="1:21">
      <c r="A869">
        <v>41</v>
      </c>
      <c r="B869">
        <v>1</v>
      </c>
      <c r="C869">
        <v>1</v>
      </c>
      <c r="D869">
        <v>110</v>
      </c>
      <c r="E869">
        <v>235</v>
      </c>
      <c r="F869">
        <v>0</v>
      </c>
      <c r="G869">
        <v>1</v>
      </c>
      <c r="H869">
        <v>153</v>
      </c>
      <c r="I869">
        <v>0</v>
      </c>
      <c r="J869">
        <v>0</v>
      </c>
      <c r="K869">
        <v>2</v>
      </c>
      <c r="L869">
        <v>0</v>
      </c>
      <c r="M869">
        <v>2</v>
      </c>
      <c r="N869">
        <v>1</v>
      </c>
      <c r="O869" t="str">
        <f t="shared" si="78"/>
        <v>Male</v>
      </c>
      <c r="P869" t="str">
        <f t="shared" si="79"/>
        <v>Heart Disease</v>
      </c>
      <c r="Q869" t="str">
        <f t="shared" si="80"/>
        <v>Atypical Angina</v>
      </c>
      <c r="R869" t="str">
        <f t="shared" si="81"/>
        <v>Normal</v>
      </c>
      <c r="S869" t="str">
        <f t="shared" si="82"/>
        <v>No</v>
      </c>
      <c r="T869" t="str" cm="1">
        <f t="array" ref="T869">_xlfn.IFS(A868&lt;30,"18-29",A868&lt;40,"30-39",A868&lt;50,"40-49",A868&lt;60,"50-59",A868&gt;=60,"60+")</f>
        <v>40-49</v>
      </c>
      <c r="U869" t="str">
        <f t="shared" si="83"/>
        <v>Normal</v>
      </c>
    </row>
    <row r="870" spans="1:21">
      <c r="A870">
        <v>56</v>
      </c>
      <c r="B870">
        <v>1</v>
      </c>
      <c r="C870">
        <v>1</v>
      </c>
      <c r="D870">
        <v>120</v>
      </c>
      <c r="E870">
        <v>240</v>
      </c>
      <c r="F870">
        <v>0</v>
      </c>
      <c r="G870">
        <v>1</v>
      </c>
      <c r="H870">
        <v>169</v>
      </c>
      <c r="I870">
        <v>0</v>
      </c>
      <c r="J870">
        <v>0</v>
      </c>
      <c r="K870">
        <v>0</v>
      </c>
      <c r="L870">
        <v>0</v>
      </c>
      <c r="M870">
        <v>2</v>
      </c>
      <c r="N870">
        <v>1</v>
      </c>
      <c r="O870" t="str">
        <f t="shared" si="78"/>
        <v>Male</v>
      </c>
      <c r="P870" t="str">
        <f t="shared" si="79"/>
        <v>Heart Disease</v>
      </c>
      <c r="Q870" t="str">
        <f t="shared" si="80"/>
        <v>Atypical Angina</v>
      </c>
      <c r="R870" t="str">
        <f t="shared" si="81"/>
        <v>Normal</v>
      </c>
      <c r="S870" t="str">
        <f t="shared" si="82"/>
        <v>No</v>
      </c>
      <c r="T870" t="str" cm="1">
        <f t="array" ref="T870">_xlfn.IFS(A869&lt;30,"18-29",A869&lt;40,"30-39",A869&lt;50,"40-49",A869&lt;60,"50-59",A869&gt;=60,"60+")</f>
        <v>40-49</v>
      </c>
      <c r="U870" t="str">
        <f t="shared" si="83"/>
        <v>Elevated</v>
      </c>
    </row>
    <row r="871" spans="1:21">
      <c r="A871">
        <v>56</v>
      </c>
      <c r="B871">
        <v>1</v>
      </c>
      <c r="C871">
        <v>1</v>
      </c>
      <c r="D871">
        <v>120</v>
      </c>
      <c r="E871">
        <v>236</v>
      </c>
      <c r="F871">
        <v>0</v>
      </c>
      <c r="G871">
        <v>1</v>
      </c>
      <c r="H871">
        <v>178</v>
      </c>
      <c r="I871">
        <v>0</v>
      </c>
      <c r="J871">
        <v>0.8</v>
      </c>
      <c r="K871">
        <v>2</v>
      </c>
      <c r="L871">
        <v>0</v>
      </c>
      <c r="M871">
        <v>2</v>
      </c>
      <c r="N871">
        <v>1</v>
      </c>
      <c r="O871" t="str">
        <f t="shared" si="78"/>
        <v>Male</v>
      </c>
      <c r="P871" t="str">
        <f t="shared" si="79"/>
        <v>Heart Disease</v>
      </c>
      <c r="Q871" t="str">
        <f t="shared" si="80"/>
        <v>Atypical Angina</v>
      </c>
      <c r="R871" t="str">
        <f t="shared" si="81"/>
        <v>Normal</v>
      </c>
      <c r="S871" t="str">
        <f t="shared" si="82"/>
        <v>No</v>
      </c>
      <c r="T871" t="str" cm="1">
        <f t="array" ref="T871">_xlfn.IFS(A870&lt;30,"18-29",A870&lt;40,"30-39",A870&lt;50,"40-49",A870&lt;60,"50-59",A870&gt;=60,"60+")</f>
        <v>50-59</v>
      </c>
      <c r="U871" t="str">
        <f t="shared" si="83"/>
        <v>Elevated</v>
      </c>
    </row>
    <row r="872" spans="1:21">
      <c r="A872">
        <v>48</v>
      </c>
      <c r="B872">
        <v>0</v>
      </c>
      <c r="C872">
        <v>2</v>
      </c>
      <c r="D872">
        <v>130</v>
      </c>
      <c r="E872">
        <v>275</v>
      </c>
      <c r="F872">
        <v>0</v>
      </c>
      <c r="G872">
        <v>1</v>
      </c>
      <c r="H872">
        <v>139</v>
      </c>
      <c r="I872">
        <v>0</v>
      </c>
      <c r="J872">
        <v>0.2</v>
      </c>
      <c r="K872">
        <v>2</v>
      </c>
      <c r="L872">
        <v>0</v>
      </c>
      <c r="M872">
        <v>2</v>
      </c>
      <c r="N872">
        <v>1</v>
      </c>
      <c r="O872" t="str">
        <f t="shared" si="78"/>
        <v>Female</v>
      </c>
      <c r="P872" t="str">
        <f t="shared" si="79"/>
        <v>Heart Disease</v>
      </c>
      <c r="Q872" t="str">
        <f t="shared" si="80"/>
        <v>Non-Anginal Pain</v>
      </c>
      <c r="R872" t="str">
        <f t="shared" si="81"/>
        <v>Normal</v>
      </c>
      <c r="S872" t="str">
        <f t="shared" si="82"/>
        <v>No</v>
      </c>
      <c r="T872" t="str" cm="1">
        <f t="array" ref="T872">_xlfn.IFS(A871&lt;30,"18-29",A871&lt;40,"30-39",A871&lt;50,"40-49",A871&lt;60,"50-59",A871&gt;=60,"60+")</f>
        <v>50-59</v>
      </c>
      <c r="U872" t="str">
        <f t="shared" si="83"/>
        <v>High (Stage 1)</v>
      </c>
    </row>
    <row r="873" spans="1:21">
      <c r="A873">
        <v>39</v>
      </c>
      <c r="B873">
        <v>1</v>
      </c>
      <c r="C873">
        <v>2</v>
      </c>
      <c r="D873">
        <v>140</v>
      </c>
      <c r="E873">
        <v>321</v>
      </c>
      <c r="F873">
        <v>0</v>
      </c>
      <c r="G873">
        <v>0</v>
      </c>
      <c r="H873">
        <v>182</v>
      </c>
      <c r="I873">
        <v>0</v>
      </c>
      <c r="J873">
        <v>0</v>
      </c>
      <c r="K873">
        <v>2</v>
      </c>
      <c r="L873">
        <v>0</v>
      </c>
      <c r="M873">
        <v>2</v>
      </c>
      <c r="N873">
        <v>1</v>
      </c>
      <c r="O873" t="str">
        <f t="shared" si="78"/>
        <v>Male</v>
      </c>
      <c r="P873" t="str">
        <f t="shared" si="79"/>
        <v>Heart Disease</v>
      </c>
      <c r="Q873" t="str">
        <f t="shared" si="80"/>
        <v>Non-Anginal Pain</v>
      </c>
      <c r="R873" t="str">
        <f t="shared" si="81"/>
        <v>Normal</v>
      </c>
      <c r="S873" t="str">
        <f t="shared" si="82"/>
        <v>No</v>
      </c>
      <c r="T873" t="str" cm="1">
        <f t="array" ref="T873">_xlfn.IFS(A872&lt;30,"18-29",A872&lt;40,"30-39",A872&lt;50,"40-49",A872&lt;60,"50-59",A872&gt;=60,"60+")</f>
        <v>40-49</v>
      </c>
      <c r="U873" t="str">
        <f t="shared" si="83"/>
        <v>High (Stage 2)</v>
      </c>
    </row>
    <row r="874" spans="1:21">
      <c r="A874">
        <v>64</v>
      </c>
      <c r="B874">
        <v>1</v>
      </c>
      <c r="C874">
        <v>3</v>
      </c>
      <c r="D874">
        <v>170</v>
      </c>
      <c r="E874">
        <v>227</v>
      </c>
      <c r="F874">
        <v>0</v>
      </c>
      <c r="G874">
        <v>0</v>
      </c>
      <c r="H874">
        <v>155</v>
      </c>
      <c r="I874">
        <v>0</v>
      </c>
      <c r="J874">
        <v>0.6</v>
      </c>
      <c r="K874">
        <v>1</v>
      </c>
      <c r="L874">
        <v>0</v>
      </c>
      <c r="M874">
        <v>3</v>
      </c>
      <c r="N874">
        <v>1</v>
      </c>
      <c r="O874" t="str">
        <f t="shared" si="78"/>
        <v>Male</v>
      </c>
      <c r="P874" t="str">
        <f t="shared" si="79"/>
        <v>Heart Disease</v>
      </c>
      <c r="Q874" t="str">
        <f t="shared" si="80"/>
        <v>Asymptomatic</v>
      </c>
      <c r="R874" t="str">
        <f t="shared" si="81"/>
        <v>Normal</v>
      </c>
      <c r="S874" t="str">
        <f t="shared" si="82"/>
        <v>No</v>
      </c>
      <c r="T874" t="str" cm="1">
        <f t="array" ref="T874">_xlfn.IFS(A873&lt;30,"18-29",A873&lt;40,"30-39",A873&lt;50,"40-49",A873&lt;60,"50-59",A873&gt;=60,"60+")</f>
        <v>30-39</v>
      </c>
      <c r="U874" t="str">
        <f t="shared" si="83"/>
        <v>High (Stage 2)</v>
      </c>
    </row>
    <row r="875" spans="1:21">
      <c r="A875">
        <v>57</v>
      </c>
      <c r="B875">
        <v>1</v>
      </c>
      <c r="C875">
        <v>0</v>
      </c>
      <c r="D875">
        <v>140</v>
      </c>
      <c r="E875">
        <v>192</v>
      </c>
      <c r="F875">
        <v>0</v>
      </c>
      <c r="G875">
        <v>1</v>
      </c>
      <c r="H875">
        <v>148</v>
      </c>
      <c r="I875">
        <v>0</v>
      </c>
      <c r="J875">
        <v>0.4</v>
      </c>
      <c r="K875">
        <v>1</v>
      </c>
      <c r="L875">
        <v>0</v>
      </c>
      <c r="M875">
        <v>1</v>
      </c>
      <c r="N875">
        <v>1</v>
      </c>
      <c r="O875" t="str">
        <f t="shared" si="78"/>
        <v>Male</v>
      </c>
      <c r="P875" t="str">
        <f t="shared" si="79"/>
        <v>Heart Disease</v>
      </c>
      <c r="Q875" t="str">
        <f t="shared" si="80"/>
        <v>Typical Angina</v>
      </c>
      <c r="R875" t="str">
        <f t="shared" si="81"/>
        <v>Normal</v>
      </c>
      <c r="S875" t="str">
        <f t="shared" si="82"/>
        <v>No</v>
      </c>
      <c r="T875" t="str" cm="1">
        <f t="array" ref="T875">_xlfn.IFS(A874&lt;30,"18-29",A874&lt;40,"30-39",A874&lt;50,"40-49",A874&lt;60,"50-59",A874&gt;=60,"60+")</f>
        <v>60+</v>
      </c>
      <c r="U875" t="str">
        <f t="shared" si="83"/>
        <v>High (Stage 2)</v>
      </c>
    </row>
    <row r="876" spans="1:21">
      <c r="A876">
        <v>59</v>
      </c>
      <c r="B876">
        <v>1</v>
      </c>
      <c r="C876">
        <v>3</v>
      </c>
      <c r="D876">
        <v>160</v>
      </c>
      <c r="E876">
        <v>273</v>
      </c>
      <c r="F876">
        <v>0</v>
      </c>
      <c r="G876">
        <v>0</v>
      </c>
      <c r="H876">
        <v>125</v>
      </c>
      <c r="I876">
        <v>0</v>
      </c>
      <c r="J876">
        <v>0</v>
      </c>
      <c r="K876">
        <v>2</v>
      </c>
      <c r="L876">
        <v>0</v>
      </c>
      <c r="M876">
        <v>2</v>
      </c>
      <c r="N876">
        <v>0</v>
      </c>
      <c r="O876" t="str">
        <f t="shared" si="78"/>
        <v>Male</v>
      </c>
      <c r="P876" t="str">
        <f t="shared" si="79"/>
        <v>No Disease</v>
      </c>
      <c r="Q876" t="str">
        <f t="shared" si="80"/>
        <v>Asymptomatic</v>
      </c>
      <c r="R876" t="str">
        <f t="shared" si="81"/>
        <v>Normal</v>
      </c>
      <c r="S876" t="str">
        <f t="shared" si="82"/>
        <v>No</v>
      </c>
      <c r="T876" t="str" cm="1">
        <f t="array" ref="T876">_xlfn.IFS(A875&lt;30,"18-29",A875&lt;40,"30-39",A875&lt;50,"40-49",A875&lt;60,"50-59",A875&gt;=60,"60+")</f>
        <v>50-59</v>
      </c>
      <c r="U876" t="str">
        <f t="shared" si="83"/>
        <v>High (Stage 2)</v>
      </c>
    </row>
    <row r="877" spans="1:21">
      <c r="A877">
        <v>60</v>
      </c>
      <c r="B877">
        <v>1</v>
      </c>
      <c r="C877">
        <v>0</v>
      </c>
      <c r="D877">
        <v>130</v>
      </c>
      <c r="E877">
        <v>206</v>
      </c>
      <c r="F877">
        <v>0</v>
      </c>
      <c r="G877">
        <v>0</v>
      </c>
      <c r="H877">
        <v>132</v>
      </c>
      <c r="I877">
        <v>1</v>
      </c>
      <c r="J877">
        <v>2.4</v>
      </c>
      <c r="K877">
        <v>1</v>
      </c>
      <c r="L877">
        <v>2</v>
      </c>
      <c r="M877">
        <v>3</v>
      </c>
      <c r="N877">
        <v>0</v>
      </c>
      <c r="O877" t="str">
        <f t="shared" si="78"/>
        <v>Male</v>
      </c>
      <c r="P877" t="str">
        <f t="shared" si="79"/>
        <v>No Disease</v>
      </c>
      <c r="Q877" t="str">
        <f t="shared" si="80"/>
        <v>Typical Angina</v>
      </c>
      <c r="R877" t="str">
        <f t="shared" si="81"/>
        <v>Normal</v>
      </c>
      <c r="S877" t="str">
        <f t="shared" si="82"/>
        <v>Yes</v>
      </c>
      <c r="T877" t="str" cm="1">
        <f t="array" ref="T877">_xlfn.IFS(A876&lt;30,"18-29",A876&lt;40,"30-39",A876&lt;50,"40-49",A876&lt;60,"50-59",A876&gt;=60,"60+")</f>
        <v>50-59</v>
      </c>
      <c r="U877" t="str">
        <f t="shared" si="83"/>
        <v>High (Stage 1)</v>
      </c>
    </row>
    <row r="878" spans="1:21">
      <c r="A878">
        <v>61</v>
      </c>
      <c r="B878">
        <v>1</v>
      </c>
      <c r="C878">
        <v>0</v>
      </c>
      <c r="D878">
        <v>140</v>
      </c>
      <c r="E878">
        <v>207</v>
      </c>
      <c r="F878">
        <v>0</v>
      </c>
      <c r="G878">
        <v>0</v>
      </c>
      <c r="H878">
        <v>138</v>
      </c>
      <c r="I878">
        <v>1</v>
      </c>
      <c r="J878">
        <v>1.9</v>
      </c>
      <c r="K878">
        <v>2</v>
      </c>
      <c r="L878">
        <v>1</v>
      </c>
      <c r="M878">
        <v>3</v>
      </c>
      <c r="N878">
        <v>0</v>
      </c>
      <c r="O878" t="str">
        <f t="shared" si="78"/>
        <v>Male</v>
      </c>
      <c r="P878" t="str">
        <f t="shared" si="79"/>
        <v>No Disease</v>
      </c>
      <c r="Q878" t="str">
        <f t="shared" si="80"/>
        <v>Typical Angina</v>
      </c>
      <c r="R878" t="str">
        <f t="shared" si="81"/>
        <v>Normal</v>
      </c>
      <c r="S878" t="str">
        <f t="shared" si="82"/>
        <v>Yes</v>
      </c>
      <c r="T878" t="str" cm="1">
        <f t="array" ref="T878">_xlfn.IFS(A877&lt;30,"18-29",A877&lt;40,"30-39",A877&lt;50,"40-49",A877&lt;60,"50-59",A877&gt;=60,"60+")</f>
        <v>60+</v>
      </c>
      <c r="U878" t="str">
        <f t="shared" si="83"/>
        <v>High (Stage 2)</v>
      </c>
    </row>
    <row r="879" spans="1:21">
      <c r="A879">
        <v>43</v>
      </c>
      <c r="B879">
        <v>0</v>
      </c>
      <c r="C879">
        <v>2</v>
      </c>
      <c r="D879">
        <v>122</v>
      </c>
      <c r="E879">
        <v>213</v>
      </c>
      <c r="F879">
        <v>0</v>
      </c>
      <c r="G879">
        <v>1</v>
      </c>
      <c r="H879">
        <v>165</v>
      </c>
      <c r="I879">
        <v>0</v>
      </c>
      <c r="J879">
        <v>0.2</v>
      </c>
      <c r="K879">
        <v>1</v>
      </c>
      <c r="L879">
        <v>0</v>
      </c>
      <c r="M879">
        <v>2</v>
      </c>
      <c r="N879">
        <v>1</v>
      </c>
      <c r="O879" t="str">
        <f t="shared" si="78"/>
        <v>Female</v>
      </c>
      <c r="P879" t="str">
        <f t="shared" si="79"/>
        <v>Heart Disease</v>
      </c>
      <c r="Q879" t="str">
        <f t="shared" si="80"/>
        <v>Non-Anginal Pain</v>
      </c>
      <c r="R879" t="str">
        <f t="shared" si="81"/>
        <v>Normal</v>
      </c>
      <c r="S879" t="str">
        <f t="shared" si="82"/>
        <v>No</v>
      </c>
      <c r="T879" t="str" cm="1">
        <f t="array" ref="T879">_xlfn.IFS(A878&lt;30,"18-29",A878&lt;40,"30-39",A878&lt;50,"40-49",A878&lt;60,"50-59",A878&gt;=60,"60+")</f>
        <v>60+</v>
      </c>
      <c r="U879" t="str">
        <f t="shared" si="83"/>
        <v>Elevated</v>
      </c>
    </row>
    <row r="880" spans="1:21">
      <c r="A880">
        <v>54</v>
      </c>
      <c r="B880">
        <v>1</v>
      </c>
      <c r="C880">
        <v>0</v>
      </c>
      <c r="D880">
        <v>120</v>
      </c>
      <c r="E880">
        <v>188</v>
      </c>
      <c r="F880">
        <v>0</v>
      </c>
      <c r="G880">
        <v>1</v>
      </c>
      <c r="H880">
        <v>113</v>
      </c>
      <c r="I880">
        <v>0</v>
      </c>
      <c r="J880">
        <v>1.4</v>
      </c>
      <c r="K880">
        <v>1</v>
      </c>
      <c r="L880">
        <v>1</v>
      </c>
      <c r="M880">
        <v>3</v>
      </c>
      <c r="N880">
        <v>0</v>
      </c>
      <c r="O880" t="str">
        <f t="shared" si="78"/>
        <v>Male</v>
      </c>
      <c r="P880" t="str">
        <f t="shared" si="79"/>
        <v>No Disease</v>
      </c>
      <c r="Q880" t="str">
        <f t="shared" si="80"/>
        <v>Typical Angina</v>
      </c>
      <c r="R880" t="str">
        <f t="shared" si="81"/>
        <v>Normal</v>
      </c>
      <c r="S880" t="str">
        <f t="shared" si="82"/>
        <v>No</v>
      </c>
      <c r="T880" t="str" cm="1">
        <f t="array" ref="T880">_xlfn.IFS(A879&lt;30,"18-29",A879&lt;40,"30-39",A879&lt;50,"40-49",A879&lt;60,"50-59",A879&gt;=60,"60+")</f>
        <v>40-49</v>
      </c>
      <c r="U880" t="str">
        <f t="shared" si="83"/>
        <v>Elevated</v>
      </c>
    </row>
    <row r="881" spans="1:21">
      <c r="A881">
        <v>59</v>
      </c>
      <c r="B881">
        <v>1</v>
      </c>
      <c r="C881">
        <v>0</v>
      </c>
      <c r="D881">
        <v>138</v>
      </c>
      <c r="E881">
        <v>271</v>
      </c>
      <c r="F881">
        <v>0</v>
      </c>
      <c r="G881">
        <v>0</v>
      </c>
      <c r="H881">
        <v>182</v>
      </c>
      <c r="I881">
        <v>0</v>
      </c>
      <c r="J881">
        <v>0</v>
      </c>
      <c r="K881">
        <v>2</v>
      </c>
      <c r="L881">
        <v>0</v>
      </c>
      <c r="M881">
        <v>2</v>
      </c>
      <c r="N881">
        <v>1</v>
      </c>
      <c r="O881" t="str">
        <f t="shared" si="78"/>
        <v>Male</v>
      </c>
      <c r="P881" t="str">
        <f t="shared" si="79"/>
        <v>Heart Disease</v>
      </c>
      <c r="Q881" t="str">
        <f t="shared" si="80"/>
        <v>Typical Angina</v>
      </c>
      <c r="R881" t="str">
        <f t="shared" si="81"/>
        <v>Normal</v>
      </c>
      <c r="S881" t="str">
        <f t="shared" si="82"/>
        <v>No</v>
      </c>
      <c r="T881" t="str" cm="1">
        <f t="array" ref="T881">_xlfn.IFS(A880&lt;30,"18-29",A880&lt;40,"30-39",A880&lt;50,"40-49",A880&lt;60,"50-59",A880&gt;=60,"60+")</f>
        <v>50-59</v>
      </c>
      <c r="U881" t="str">
        <f t="shared" si="83"/>
        <v>High (Stage 1)</v>
      </c>
    </row>
    <row r="882" spans="1:21">
      <c r="A882">
        <v>57</v>
      </c>
      <c r="B882">
        <v>1</v>
      </c>
      <c r="C882">
        <v>0</v>
      </c>
      <c r="D882">
        <v>132</v>
      </c>
      <c r="E882">
        <v>207</v>
      </c>
      <c r="F882">
        <v>0</v>
      </c>
      <c r="G882">
        <v>1</v>
      </c>
      <c r="H882">
        <v>168</v>
      </c>
      <c r="I882">
        <v>1</v>
      </c>
      <c r="J882">
        <v>0</v>
      </c>
      <c r="K882">
        <v>2</v>
      </c>
      <c r="L882">
        <v>0</v>
      </c>
      <c r="M882">
        <v>3</v>
      </c>
      <c r="N882">
        <v>1</v>
      </c>
      <c r="O882" t="str">
        <f t="shared" si="78"/>
        <v>Male</v>
      </c>
      <c r="P882" t="str">
        <f t="shared" si="79"/>
        <v>Heart Disease</v>
      </c>
      <c r="Q882" t="str">
        <f t="shared" si="80"/>
        <v>Typical Angina</v>
      </c>
      <c r="R882" t="str">
        <f t="shared" si="81"/>
        <v>Normal</v>
      </c>
      <c r="S882" t="str">
        <f t="shared" si="82"/>
        <v>Yes</v>
      </c>
      <c r="T882" t="str" cm="1">
        <f t="array" ref="T882">_xlfn.IFS(A881&lt;30,"18-29",A881&lt;40,"30-39",A881&lt;50,"40-49",A881&lt;60,"50-59",A881&gt;=60,"60+")</f>
        <v>50-59</v>
      </c>
      <c r="U882" t="str">
        <f t="shared" si="83"/>
        <v>High (Stage 1)</v>
      </c>
    </row>
    <row r="883" spans="1:21">
      <c r="A883">
        <v>57</v>
      </c>
      <c r="B883">
        <v>1</v>
      </c>
      <c r="C883">
        <v>1</v>
      </c>
      <c r="D883">
        <v>154</v>
      </c>
      <c r="E883">
        <v>232</v>
      </c>
      <c r="F883">
        <v>0</v>
      </c>
      <c r="G883">
        <v>0</v>
      </c>
      <c r="H883">
        <v>164</v>
      </c>
      <c r="I883">
        <v>0</v>
      </c>
      <c r="J883">
        <v>0</v>
      </c>
      <c r="K883">
        <v>2</v>
      </c>
      <c r="L883">
        <v>1</v>
      </c>
      <c r="M883">
        <v>2</v>
      </c>
      <c r="N883">
        <v>0</v>
      </c>
      <c r="O883" t="str">
        <f t="shared" si="78"/>
        <v>Male</v>
      </c>
      <c r="P883" t="str">
        <f t="shared" si="79"/>
        <v>No Disease</v>
      </c>
      <c r="Q883" t="str">
        <f t="shared" si="80"/>
        <v>Atypical Angina</v>
      </c>
      <c r="R883" t="str">
        <f t="shared" si="81"/>
        <v>Normal</v>
      </c>
      <c r="S883" t="str">
        <f t="shared" si="82"/>
        <v>No</v>
      </c>
      <c r="T883" t="str" cm="1">
        <f t="array" ref="T883">_xlfn.IFS(A882&lt;30,"18-29",A882&lt;40,"30-39",A882&lt;50,"40-49",A882&lt;60,"50-59",A882&gt;=60,"60+")</f>
        <v>50-59</v>
      </c>
      <c r="U883" t="str">
        <f t="shared" si="83"/>
        <v>High (Stage 2)</v>
      </c>
    </row>
    <row r="884" spans="1:21">
      <c r="A884">
        <v>57</v>
      </c>
      <c r="B884">
        <v>1</v>
      </c>
      <c r="C884">
        <v>0</v>
      </c>
      <c r="D884">
        <v>130</v>
      </c>
      <c r="E884">
        <v>131</v>
      </c>
      <c r="F884">
        <v>0</v>
      </c>
      <c r="G884">
        <v>1</v>
      </c>
      <c r="H884">
        <v>115</v>
      </c>
      <c r="I884">
        <v>1</v>
      </c>
      <c r="J884">
        <v>1.2</v>
      </c>
      <c r="K884">
        <v>1</v>
      </c>
      <c r="L884">
        <v>1</v>
      </c>
      <c r="M884">
        <v>3</v>
      </c>
      <c r="N884">
        <v>0</v>
      </c>
      <c r="O884" t="str">
        <f t="shared" si="78"/>
        <v>Male</v>
      </c>
      <c r="P884" t="str">
        <f t="shared" si="79"/>
        <v>No Disease</v>
      </c>
      <c r="Q884" t="str">
        <f t="shared" si="80"/>
        <v>Typical Angina</v>
      </c>
      <c r="R884" t="str">
        <f t="shared" si="81"/>
        <v>Normal</v>
      </c>
      <c r="S884" t="str">
        <f t="shared" si="82"/>
        <v>Yes</v>
      </c>
      <c r="T884" t="str" cm="1">
        <f t="array" ref="T884">_xlfn.IFS(A883&lt;30,"18-29",A883&lt;40,"30-39",A883&lt;50,"40-49",A883&lt;60,"50-59",A883&gt;=60,"60+")</f>
        <v>50-59</v>
      </c>
      <c r="U884" t="str">
        <f t="shared" si="83"/>
        <v>High (Stage 1)</v>
      </c>
    </row>
    <row r="885" spans="1:21">
      <c r="A885">
        <v>48</v>
      </c>
      <c r="B885">
        <v>1</v>
      </c>
      <c r="C885">
        <v>0</v>
      </c>
      <c r="D885">
        <v>124</v>
      </c>
      <c r="E885">
        <v>274</v>
      </c>
      <c r="F885">
        <v>0</v>
      </c>
      <c r="G885">
        <v>0</v>
      </c>
      <c r="H885">
        <v>166</v>
      </c>
      <c r="I885">
        <v>0</v>
      </c>
      <c r="J885">
        <v>0.5</v>
      </c>
      <c r="K885">
        <v>1</v>
      </c>
      <c r="L885">
        <v>0</v>
      </c>
      <c r="M885">
        <v>3</v>
      </c>
      <c r="N885">
        <v>0</v>
      </c>
      <c r="O885" t="str">
        <f t="shared" si="78"/>
        <v>Male</v>
      </c>
      <c r="P885" t="str">
        <f t="shared" si="79"/>
        <v>No Disease</v>
      </c>
      <c r="Q885" t="str">
        <f t="shared" si="80"/>
        <v>Typical Angina</v>
      </c>
      <c r="R885" t="str">
        <f t="shared" si="81"/>
        <v>Normal</v>
      </c>
      <c r="S885" t="str">
        <f t="shared" si="82"/>
        <v>No</v>
      </c>
      <c r="T885" t="str" cm="1">
        <f t="array" ref="T885">_xlfn.IFS(A884&lt;30,"18-29",A884&lt;40,"30-39",A884&lt;50,"40-49",A884&lt;60,"50-59",A884&gt;=60,"60+")</f>
        <v>50-59</v>
      </c>
      <c r="U885" t="str">
        <f t="shared" si="83"/>
        <v>Elevated</v>
      </c>
    </row>
    <row r="886" spans="1:21">
      <c r="A886">
        <v>70</v>
      </c>
      <c r="B886">
        <v>1</v>
      </c>
      <c r="C886">
        <v>0</v>
      </c>
      <c r="D886">
        <v>145</v>
      </c>
      <c r="E886">
        <v>174</v>
      </c>
      <c r="F886">
        <v>0</v>
      </c>
      <c r="G886">
        <v>1</v>
      </c>
      <c r="H886">
        <v>125</v>
      </c>
      <c r="I886">
        <v>1</v>
      </c>
      <c r="J886">
        <v>2.6</v>
      </c>
      <c r="K886">
        <v>0</v>
      </c>
      <c r="L886">
        <v>0</v>
      </c>
      <c r="M886">
        <v>3</v>
      </c>
      <c r="N886">
        <v>0</v>
      </c>
      <c r="O886" t="str">
        <f t="shared" si="78"/>
        <v>Male</v>
      </c>
      <c r="P886" t="str">
        <f t="shared" si="79"/>
        <v>No Disease</v>
      </c>
      <c r="Q886" t="str">
        <f t="shared" si="80"/>
        <v>Typical Angina</v>
      </c>
      <c r="R886" t="str">
        <f t="shared" si="81"/>
        <v>Normal</v>
      </c>
      <c r="S886" t="str">
        <f t="shared" si="82"/>
        <v>Yes</v>
      </c>
      <c r="T886" t="str" cm="1">
        <f t="array" ref="T886">_xlfn.IFS(A885&lt;30,"18-29",A885&lt;40,"30-39",A885&lt;50,"40-49",A885&lt;60,"50-59",A885&gt;=60,"60+")</f>
        <v>40-49</v>
      </c>
      <c r="U886" t="str">
        <f t="shared" si="83"/>
        <v>High (Stage 2)</v>
      </c>
    </row>
    <row r="887" spans="1:21">
      <c r="A887">
        <v>57</v>
      </c>
      <c r="B887">
        <v>1</v>
      </c>
      <c r="C887">
        <v>0</v>
      </c>
      <c r="D887">
        <v>165</v>
      </c>
      <c r="E887">
        <v>289</v>
      </c>
      <c r="F887">
        <v>1</v>
      </c>
      <c r="G887">
        <v>0</v>
      </c>
      <c r="H887">
        <v>124</v>
      </c>
      <c r="I887">
        <v>0</v>
      </c>
      <c r="J887">
        <v>1</v>
      </c>
      <c r="K887">
        <v>1</v>
      </c>
      <c r="L887">
        <v>3</v>
      </c>
      <c r="M887">
        <v>3</v>
      </c>
      <c r="N887">
        <v>0</v>
      </c>
      <c r="O887" t="str">
        <f t="shared" si="78"/>
        <v>Male</v>
      </c>
      <c r="P887" t="str">
        <f t="shared" si="79"/>
        <v>No Disease</v>
      </c>
      <c r="Q887" t="str">
        <f t="shared" si="80"/>
        <v>Typical Angina</v>
      </c>
      <c r="R887" t="str">
        <f t="shared" si="81"/>
        <v>High</v>
      </c>
      <c r="S887" t="str">
        <f t="shared" si="82"/>
        <v>No</v>
      </c>
      <c r="T887" t="str" cm="1">
        <f t="array" ref="T887">_xlfn.IFS(A886&lt;30,"18-29",A886&lt;40,"30-39",A886&lt;50,"40-49",A886&lt;60,"50-59",A886&gt;=60,"60+")</f>
        <v>60+</v>
      </c>
      <c r="U887" t="str">
        <f t="shared" si="83"/>
        <v>High (Stage 2)</v>
      </c>
    </row>
    <row r="888" spans="1:21">
      <c r="A888">
        <v>61</v>
      </c>
      <c r="B888">
        <v>1</v>
      </c>
      <c r="C888">
        <v>0</v>
      </c>
      <c r="D888">
        <v>120</v>
      </c>
      <c r="E888">
        <v>260</v>
      </c>
      <c r="F888">
        <v>0</v>
      </c>
      <c r="G888">
        <v>1</v>
      </c>
      <c r="H888">
        <v>140</v>
      </c>
      <c r="I888">
        <v>1</v>
      </c>
      <c r="J888">
        <v>3.6</v>
      </c>
      <c r="K888">
        <v>1</v>
      </c>
      <c r="L888">
        <v>1</v>
      </c>
      <c r="M888">
        <v>3</v>
      </c>
      <c r="N888">
        <v>0</v>
      </c>
      <c r="O888" t="str">
        <f t="shared" si="78"/>
        <v>Male</v>
      </c>
      <c r="P888" t="str">
        <f t="shared" si="79"/>
        <v>No Disease</v>
      </c>
      <c r="Q888" t="str">
        <f t="shared" si="80"/>
        <v>Typical Angina</v>
      </c>
      <c r="R888" t="str">
        <f t="shared" si="81"/>
        <v>Normal</v>
      </c>
      <c r="S888" t="str">
        <f t="shared" si="82"/>
        <v>Yes</v>
      </c>
      <c r="T888" t="str" cm="1">
        <f t="array" ref="T888">_xlfn.IFS(A887&lt;30,"18-29",A887&lt;40,"30-39",A887&lt;50,"40-49",A887&lt;60,"50-59",A887&gt;=60,"60+")</f>
        <v>50-59</v>
      </c>
      <c r="U888" t="str">
        <f t="shared" si="83"/>
        <v>Elevated</v>
      </c>
    </row>
    <row r="889" spans="1:21">
      <c r="A889">
        <v>57</v>
      </c>
      <c r="B889">
        <v>1</v>
      </c>
      <c r="C889">
        <v>0</v>
      </c>
      <c r="D889">
        <v>110</v>
      </c>
      <c r="E889">
        <v>201</v>
      </c>
      <c r="F889">
        <v>0</v>
      </c>
      <c r="G889">
        <v>1</v>
      </c>
      <c r="H889">
        <v>126</v>
      </c>
      <c r="I889">
        <v>1</v>
      </c>
      <c r="J889">
        <v>1.5</v>
      </c>
      <c r="K889">
        <v>1</v>
      </c>
      <c r="L889">
        <v>0</v>
      </c>
      <c r="M889">
        <v>1</v>
      </c>
      <c r="N889">
        <v>1</v>
      </c>
      <c r="O889" t="str">
        <f t="shared" si="78"/>
        <v>Male</v>
      </c>
      <c r="P889" t="str">
        <f t="shared" si="79"/>
        <v>Heart Disease</v>
      </c>
      <c r="Q889" t="str">
        <f t="shared" si="80"/>
        <v>Typical Angina</v>
      </c>
      <c r="R889" t="str">
        <f t="shared" si="81"/>
        <v>Normal</v>
      </c>
      <c r="S889" t="str">
        <f t="shared" si="82"/>
        <v>Yes</v>
      </c>
      <c r="T889" t="str" cm="1">
        <f t="array" ref="T889">_xlfn.IFS(A888&lt;30,"18-29",A888&lt;40,"30-39",A888&lt;50,"40-49",A888&lt;60,"50-59",A888&gt;=60,"60+")</f>
        <v>60+</v>
      </c>
      <c r="U889" t="str">
        <f t="shared" si="83"/>
        <v>Normal</v>
      </c>
    </row>
    <row r="890" spans="1:21">
      <c r="A890">
        <v>60</v>
      </c>
      <c r="B890">
        <v>0</v>
      </c>
      <c r="C890">
        <v>0</v>
      </c>
      <c r="D890">
        <v>150</v>
      </c>
      <c r="E890">
        <v>258</v>
      </c>
      <c r="F890">
        <v>0</v>
      </c>
      <c r="G890">
        <v>0</v>
      </c>
      <c r="H890">
        <v>157</v>
      </c>
      <c r="I890">
        <v>0</v>
      </c>
      <c r="J890">
        <v>2.6</v>
      </c>
      <c r="K890">
        <v>1</v>
      </c>
      <c r="L890">
        <v>2</v>
      </c>
      <c r="M890">
        <v>3</v>
      </c>
      <c r="N890">
        <v>0</v>
      </c>
      <c r="O890" t="str">
        <f t="shared" si="78"/>
        <v>Female</v>
      </c>
      <c r="P890" t="str">
        <f t="shared" si="79"/>
        <v>No Disease</v>
      </c>
      <c r="Q890" t="str">
        <f t="shared" si="80"/>
        <v>Typical Angina</v>
      </c>
      <c r="R890" t="str">
        <f t="shared" si="81"/>
        <v>Normal</v>
      </c>
      <c r="S890" t="str">
        <f t="shared" si="82"/>
        <v>No</v>
      </c>
      <c r="T890" t="str" cm="1">
        <f t="array" ref="T890">_xlfn.IFS(A889&lt;30,"18-29",A889&lt;40,"30-39",A889&lt;50,"40-49",A889&lt;60,"50-59",A889&gt;=60,"60+")</f>
        <v>50-59</v>
      </c>
      <c r="U890" t="str">
        <f t="shared" si="83"/>
        <v>High (Stage 2)</v>
      </c>
    </row>
    <row r="891" spans="1:21">
      <c r="A891">
        <v>63</v>
      </c>
      <c r="B891">
        <v>0</v>
      </c>
      <c r="C891">
        <v>0</v>
      </c>
      <c r="D891">
        <v>150</v>
      </c>
      <c r="E891">
        <v>407</v>
      </c>
      <c r="F891">
        <v>0</v>
      </c>
      <c r="G891">
        <v>0</v>
      </c>
      <c r="H891">
        <v>154</v>
      </c>
      <c r="I891">
        <v>0</v>
      </c>
      <c r="J891">
        <v>4</v>
      </c>
      <c r="K891">
        <v>1</v>
      </c>
      <c r="L891">
        <v>3</v>
      </c>
      <c r="M891">
        <v>3</v>
      </c>
      <c r="N891">
        <v>0</v>
      </c>
      <c r="O891" t="str">
        <f t="shared" si="78"/>
        <v>Female</v>
      </c>
      <c r="P891" t="str">
        <f t="shared" si="79"/>
        <v>No Disease</v>
      </c>
      <c r="Q891" t="str">
        <f t="shared" si="80"/>
        <v>Typical Angina</v>
      </c>
      <c r="R891" t="str">
        <f t="shared" si="81"/>
        <v>Normal</v>
      </c>
      <c r="S891" t="str">
        <f t="shared" si="82"/>
        <v>No</v>
      </c>
      <c r="T891" t="str" cm="1">
        <f t="array" ref="T891">_xlfn.IFS(A890&lt;30,"18-29",A890&lt;40,"30-39",A890&lt;50,"40-49",A890&lt;60,"50-59",A890&gt;=60,"60+")</f>
        <v>60+</v>
      </c>
      <c r="U891" t="str">
        <f t="shared" si="83"/>
        <v>High (Stage 2)</v>
      </c>
    </row>
    <row r="892" spans="1:21">
      <c r="A892">
        <v>55</v>
      </c>
      <c r="B892">
        <v>0</v>
      </c>
      <c r="C892">
        <v>0</v>
      </c>
      <c r="D892">
        <v>128</v>
      </c>
      <c r="E892">
        <v>205</v>
      </c>
      <c r="F892">
        <v>0</v>
      </c>
      <c r="G892">
        <v>2</v>
      </c>
      <c r="H892">
        <v>130</v>
      </c>
      <c r="I892">
        <v>1</v>
      </c>
      <c r="J892">
        <v>2</v>
      </c>
      <c r="K892">
        <v>1</v>
      </c>
      <c r="L892">
        <v>1</v>
      </c>
      <c r="M892">
        <v>3</v>
      </c>
      <c r="N892">
        <v>0</v>
      </c>
      <c r="O892" t="str">
        <f t="shared" si="78"/>
        <v>Female</v>
      </c>
      <c r="P892" t="str">
        <f t="shared" si="79"/>
        <v>No Disease</v>
      </c>
      <c r="Q892" t="str">
        <f t="shared" si="80"/>
        <v>Typical Angina</v>
      </c>
      <c r="R892" t="str">
        <f t="shared" si="81"/>
        <v>Normal</v>
      </c>
      <c r="S892" t="str">
        <f t="shared" si="82"/>
        <v>Yes</v>
      </c>
      <c r="T892" t="str" cm="1">
        <f t="array" ref="T892">_xlfn.IFS(A891&lt;30,"18-29",A891&lt;40,"30-39",A891&lt;50,"40-49",A891&lt;60,"50-59",A891&gt;=60,"60+")</f>
        <v>60+</v>
      </c>
      <c r="U892" t="str">
        <f t="shared" si="83"/>
        <v>Elevated</v>
      </c>
    </row>
    <row r="893" spans="1:21">
      <c r="A893">
        <v>64</v>
      </c>
      <c r="B893">
        <v>0</v>
      </c>
      <c r="C893">
        <v>0</v>
      </c>
      <c r="D893">
        <v>180</v>
      </c>
      <c r="E893">
        <v>325</v>
      </c>
      <c r="F893">
        <v>0</v>
      </c>
      <c r="G893">
        <v>1</v>
      </c>
      <c r="H893">
        <v>154</v>
      </c>
      <c r="I893">
        <v>1</v>
      </c>
      <c r="J893">
        <v>0</v>
      </c>
      <c r="K893">
        <v>2</v>
      </c>
      <c r="L893">
        <v>0</v>
      </c>
      <c r="M893">
        <v>2</v>
      </c>
      <c r="N893">
        <v>1</v>
      </c>
      <c r="O893" t="str">
        <f t="shared" si="78"/>
        <v>Female</v>
      </c>
      <c r="P893" t="str">
        <f t="shared" si="79"/>
        <v>Heart Disease</v>
      </c>
      <c r="Q893" t="str">
        <f t="shared" si="80"/>
        <v>Typical Angina</v>
      </c>
      <c r="R893" t="str">
        <f t="shared" si="81"/>
        <v>Normal</v>
      </c>
      <c r="S893" t="str">
        <f t="shared" si="82"/>
        <v>Yes</v>
      </c>
      <c r="T893" t="str" cm="1">
        <f t="array" ref="T893">_xlfn.IFS(A892&lt;30,"18-29",A892&lt;40,"30-39",A892&lt;50,"40-49",A892&lt;60,"50-59",A892&gt;=60,"60+")</f>
        <v>50-59</v>
      </c>
      <c r="U893" t="str">
        <f t="shared" si="83"/>
        <v>High (Stage 2)</v>
      </c>
    </row>
    <row r="894" spans="1:21">
      <c r="A894">
        <v>54</v>
      </c>
      <c r="B894">
        <v>1</v>
      </c>
      <c r="C894">
        <v>0</v>
      </c>
      <c r="D894">
        <v>110</v>
      </c>
      <c r="E894">
        <v>239</v>
      </c>
      <c r="F894">
        <v>0</v>
      </c>
      <c r="G894">
        <v>1</v>
      </c>
      <c r="H894">
        <v>126</v>
      </c>
      <c r="I894">
        <v>1</v>
      </c>
      <c r="J894">
        <v>2.8</v>
      </c>
      <c r="K894">
        <v>1</v>
      </c>
      <c r="L894">
        <v>1</v>
      </c>
      <c r="M894">
        <v>3</v>
      </c>
      <c r="N894">
        <v>0</v>
      </c>
      <c r="O894" t="str">
        <f t="shared" si="78"/>
        <v>Male</v>
      </c>
      <c r="P894" t="str">
        <f t="shared" si="79"/>
        <v>No Disease</v>
      </c>
      <c r="Q894" t="str">
        <f t="shared" si="80"/>
        <v>Typical Angina</v>
      </c>
      <c r="R894" t="str">
        <f t="shared" si="81"/>
        <v>Normal</v>
      </c>
      <c r="S894" t="str">
        <f t="shared" si="82"/>
        <v>Yes</v>
      </c>
      <c r="T894" t="str" cm="1">
        <f t="array" ref="T894">_xlfn.IFS(A893&lt;30,"18-29",A893&lt;40,"30-39",A893&lt;50,"40-49",A893&lt;60,"50-59",A893&gt;=60,"60+")</f>
        <v>60+</v>
      </c>
      <c r="U894" t="str">
        <f t="shared" si="83"/>
        <v>Normal</v>
      </c>
    </row>
    <row r="895" spans="1:21">
      <c r="A895">
        <v>52</v>
      </c>
      <c r="B895">
        <v>1</v>
      </c>
      <c r="C895">
        <v>0</v>
      </c>
      <c r="D895">
        <v>128</v>
      </c>
      <c r="E895">
        <v>204</v>
      </c>
      <c r="F895">
        <v>1</v>
      </c>
      <c r="G895">
        <v>1</v>
      </c>
      <c r="H895">
        <v>156</v>
      </c>
      <c r="I895">
        <v>1</v>
      </c>
      <c r="J895">
        <v>1</v>
      </c>
      <c r="K895">
        <v>1</v>
      </c>
      <c r="L895">
        <v>0</v>
      </c>
      <c r="M895">
        <v>0</v>
      </c>
      <c r="N895">
        <v>0</v>
      </c>
      <c r="O895" t="str">
        <f t="shared" si="78"/>
        <v>Male</v>
      </c>
      <c r="P895" t="str">
        <f t="shared" si="79"/>
        <v>No Disease</v>
      </c>
      <c r="Q895" t="str">
        <f t="shared" si="80"/>
        <v>Typical Angina</v>
      </c>
      <c r="R895" t="str">
        <f t="shared" si="81"/>
        <v>High</v>
      </c>
      <c r="S895" t="str">
        <f t="shared" si="82"/>
        <v>Yes</v>
      </c>
      <c r="T895" t="str" cm="1">
        <f t="array" ref="T895">_xlfn.IFS(A894&lt;30,"18-29",A894&lt;40,"30-39",A894&lt;50,"40-49",A894&lt;60,"50-59",A894&gt;=60,"60+")</f>
        <v>50-59</v>
      </c>
      <c r="U895" t="str">
        <f t="shared" si="83"/>
        <v>Elevated</v>
      </c>
    </row>
    <row r="896" spans="1:21">
      <c r="A896">
        <v>51</v>
      </c>
      <c r="B896">
        <v>1</v>
      </c>
      <c r="C896">
        <v>0</v>
      </c>
      <c r="D896">
        <v>140</v>
      </c>
      <c r="E896">
        <v>299</v>
      </c>
      <c r="F896">
        <v>0</v>
      </c>
      <c r="G896">
        <v>1</v>
      </c>
      <c r="H896">
        <v>173</v>
      </c>
      <c r="I896">
        <v>1</v>
      </c>
      <c r="J896">
        <v>1.6</v>
      </c>
      <c r="K896">
        <v>2</v>
      </c>
      <c r="L896">
        <v>0</v>
      </c>
      <c r="M896">
        <v>3</v>
      </c>
      <c r="N896">
        <v>0</v>
      </c>
      <c r="O896" t="str">
        <f t="shared" si="78"/>
        <v>Male</v>
      </c>
      <c r="P896" t="str">
        <f t="shared" si="79"/>
        <v>No Disease</v>
      </c>
      <c r="Q896" t="str">
        <f t="shared" si="80"/>
        <v>Typical Angina</v>
      </c>
      <c r="R896" t="str">
        <f t="shared" si="81"/>
        <v>Normal</v>
      </c>
      <c r="S896" t="str">
        <f t="shared" si="82"/>
        <v>Yes</v>
      </c>
      <c r="T896" t="str" cm="1">
        <f t="array" ref="T896">_xlfn.IFS(A895&lt;30,"18-29",A895&lt;40,"30-39",A895&lt;50,"40-49",A895&lt;60,"50-59",A895&gt;=60,"60+")</f>
        <v>50-59</v>
      </c>
      <c r="U896" t="str">
        <f t="shared" si="83"/>
        <v>High (Stage 2)</v>
      </c>
    </row>
    <row r="897" spans="1:21">
      <c r="A897">
        <v>62</v>
      </c>
      <c r="B897">
        <v>0</v>
      </c>
      <c r="C897">
        <v>2</v>
      </c>
      <c r="D897">
        <v>130</v>
      </c>
      <c r="E897">
        <v>263</v>
      </c>
      <c r="F897">
        <v>0</v>
      </c>
      <c r="G897">
        <v>1</v>
      </c>
      <c r="H897">
        <v>97</v>
      </c>
      <c r="I897">
        <v>0</v>
      </c>
      <c r="J897">
        <v>1.2</v>
      </c>
      <c r="K897">
        <v>1</v>
      </c>
      <c r="L897">
        <v>1</v>
      </c>
      <c r="M897">
        <v>3</v>
      </c>
      <c r="N897">
        <v>0</v>
      </c>
      <c r="O897" t="str">
        <f t="shared" si="78"/>
        <v>Female</v>
      </c>
      <c r="P897" t="str">
        <f t="shared" si="79"/>
        <v>No Disease</v>
      </c>
      <c r="Q897" t="str">
        <f t="shared" si="80"/>
        <v>Non-Anginal Pain</v>
      </c>
      <c r="R897" t="str">
        <f t="shared" si="81"/>
        <v>Normal</v>
      </c>
      <c r="S897" t="str">
        <f t="shared" si="82"/>
        <v>No</v>
      </c>
      <c r="T897" t="str" cm="1">
        <f t="array" ref="T897">_xlfn.IFS(A896&lt;30,"18-29",A896&lt;40,"30-39",A896&lt;50,"40-49",A896&lt;60,"50-59",A896&gt;=60,"60+")</f>
        <v>50-59</v>
      </c>
      <c r="U897" t="str">
        <f t="shared" si="83"/>
        <v>High (Stage 1)</v>
      </c>
    </row>
    <row r="898" spans="1:21">
      <c r="A898">
        <v>59</v>
      </c>
      <c r="B898">
        <v>1</v>
      </c>
      <c r="C898">
        <v>3</v>
      </c>
      <c r="D898">
        <v>178</v>
      </c>
      <c r="E898">
        <v>270</v>
      </c>
      <c r="F898">
        <v>0</v>
      </c>
      <c r="G898">
        <v>0</v>
      </c>
      <c r="H898">
        <v>145</v>
      </c>
      <c r="I898">
        <v>0</v>
      </c>
      <c r="J898">
        <v>4.2</v>
      </c>
      <c r="K898">
        <v>0</v>
      </c>
      <c r="L898">
        <v>0</v>
      </c>
      <c r="M898">
        <v>3</v>
      </c>
      <c r="N898">
        <v>1</v>
      </c>
      <c r="O898" t="str">
        <f t="shared" ref="O898:O961" si="84">IF(B898=1,"Male","Female")</f>
        <v>Male</v>
      </c>
      <c r="P898" t="str">
        <f t="shared" ref="P898:P961" si="85">IF(N898=1,"Heart Disease","No Disease")</f>
        <v>Heart Disease</v>
      </c>
      <c r="Q898" t="str">
        <f t="shared" ref="Q898:Q961" si="86">IF(C898=0,"Typical Angina",IF(C898=1,"Atypical Angina",IF(C898=2,"Non-Anginal Pain","Asymptomatic")))</f>
        <v>Asymptomatic</v>
      </c>
      <c r="R898" t="str">
        <f t="shared" ref="R898:R961" si="87">IF(F898=1,"High","Normal")</f>
        <v>Normal</v>
      </c>
      <c r="S898" t="str">
        <f t="shared" ref="S898:S961" si="88">IF(I898=1,"Yes","No")</f>
        <v>No</v>
      </c>
      <c r="T898" t="str" cm="1">
        <f t="array" ref="T898">_xlfn.IFS(A897&lt;30,"18-29",A897&lt;40,"30-39",A897&lt;50,"40-49",A897&lt;60,"50-59",A897&gt;=60,"60+")</f>
        <v>60+</v>
      </c>
      <c r="U898" t="str">
        <f t="shared" ref="U898:U961" si="89">IF(D898&lt;120,"Normal",IF(D898&lt;130,"Elevated",IF(D898&lt;140,"High (Stage 1)","High (Stage 2)")))</f>
        <v>High (Stage 2)</v>
      </c>
    </row>
    <row r="899" spans="1:21">
      <c r="A899">
        <v>52</v>
      </c>
      <c r="B899">
        <v>1</v>
      </c>
      <c r="C899">
        <v>1</v>
      </c>
      <c r="D899">
        <v>134</v>
      </c>
      <c r="E899">
        <v>201</v>
      </c>
      <c r="F899">
        <v>0</v>
      </c>
      <c r="G899">
        <v>1</v>
      </c>
      <c r="H899">
        <v>158</v>
      </c>
      <c r="I899">
        <v>0</v>
      </c>
      <c r="J899">
        <v>0.8</v>
      </c>
      <c r="K899">
        <v>2</v>
      </c>
      <c r="L899">
        <v>1</v>
      </c>
      <c r="M899">
        <v>2</v>
      </c>
      <c r="N899">
        <v>1</v>
      </c>
      <c r="O899" t="str">
        <f t="shared" si="84"/>
        <v>Male</v>
      </c>
      <c r="P899" t="str">
        <f t="shared" si="85"/>
        <v>Heart Disease</v>
      </c>
      <c r="Q899" t="str">
        <f t="shared" si="86"/>
        <v>Atypical Angina</v>
      </c>
      <c r="R899" t="str">
        <f t="shared" si="87"/>
        <v>Normal</v>
      </c>
      <c r="S899" t="str">
        <f t="shared" si="88"/>
        <v>No</v>
      </c>
      <c r="T899" t="str" cm="1">
        <f t="array" ref="T899">_xlfn.IFS(A898&lt;30,"18-29",A898&lt;40,"30-39",A898&lt;50,"40-49",A898&lt;60,"50-59",A898&gt;=60,"60+")</f>
        <v>50-59</v>
      </c>
      <c r="U899" t="str">
        <f t="shared" si="89"/>
        <v>High (Stage 1)</v>
      </c>
    </row>
    <row r="900" spans="1:21">
      <c r="A900">
        <v>42</v>
      </c>
      <c r="B900">
        <v>0</v>
      </c>
      <c r="C900">
        <v>0</v>
      </c>
      <c r="D900">
        <v>102</v>
      </c>
      <c r="E900">
        <v>265</v>
      </c>
      <c r="F900">
        <v>0</v>
      </c>
      <c r="G900">
        <v>0</v>
      </c>
      <c r="H900">
        <v>122</v>
      </c>
      <c r="I900">
        <v>0</v>
      </c>
      <c r="J900">
        <v>0.6</v>
      </c>
      <c r="K900">
        <v>1</v>
      </c>
      <c r="L900">
        <v>0</v>
      </c>
      <c r="M900">
        <v>2</v>
      </c>
      <c r="N900">
        <v>1</v>
      </c>
      <c r="O900" t="str">
        <f t="shared" si="84"/>
        <v>Female</v>
      </c>
      <c r="P900" t="str">
        <f t="shared" si="85"/>
        <v>Heart Disease</v>
      </c>
      <c r="Q900" t="str">
        <f t="shared" si="86"/>
        <v>Typical Angina</v>
      </c>
      <c r="R900" t="str">
        <f t="shared" si="87"/>
        <v>Normal</v>
      </c>
      <c r="S900" t="str">
        <f t="shared" si="88"/>
        <v>No</v>
      </c>
      <c r="T900" t="str" cm="1">
        <f t="array" ref="T900">_xlfn.IFS(A899&lt;30,"18-29",A899&lt;40,"30-39",A899&lt;50,"40-49",A899&lt;60,"50-59",A899&gt;=60,"60+")</f>
        <v>50-59</v>
      </c>
      <c r="U900" t="str">
        <f t="shared" si="89"/>
        <v>Normal</v>
      </c>
    </row>
    <row r="901" spans="1:21">
      <c r="A901">
        <v>59</v>
      </c>
      <c r="B901">
        <v>1</v>
      </c>
      <c r="C901">
        <v>0</v>
      </c>
      <c r="D901">
        <v>135</v>
      </c>
      <c r="E901">
        <v>234</v>
      </c>
      <c r="F901">
        <v>0</v>
      </c>
      <c r="G901">
        <v>1</v>
      </c>
      <c r="H901">
        <v>161</v>
      </c>
      <c r="I901">
        <v>0</v>
      </c>
      <c r="J901">
        <v>0.5</v>
      </c>
      <c r="K901">
        <v>1</v>
      </c>
      <c r="L901">
        <v>0</v>
      </c>
      <c r="M901">
        <v>3</v>
      </c>
      <c r="N901">
        <v>1</v>
      </c>
      <c r="O901" t="str">
        <f t="shared" si="84"/>
        <v>Male</v>
      </c>
      <c r="P901" t="str">
        <f t="shared" si="85"/>
        <v>Heart Disease</v>
      </c>
      <c r="Q901" t="str">
        <f t="shared" si="86"/>
        <v>Typical Angina</v>
      </c>
      <c r="R901" t="str">
        <f t="shared" si="87"/>
        <v>Normal</v>
      </c>
      <c r="S901" t="str">
        <f t="shared" si="88"/>
        <v>No</v>
      </c>
      <c r="T901" t="str" cm="1">
        <f t="array" ref="T901">_xlfn.IFS(A900&lt;30,"18-29",A900&lt;40,"30-39",A900&lt;50,"40-49",A900&lt;60,"50-59",A900&gt;=60,"60+")</f>
        <v>40-49</v>
      </c>
      <c r="U901" t="str">
        <f t="shared" si="89"/>
        <v>High (Stage 1)</v>
      </c>
    </row>
    <row r="902" spans="1:21">
      <c r="A902">
        <v>61</v>
      </c>
      <c r="B902">
        <v>1</v>
      </c>
      <c r="C902">
        <v>3</v>
      </c>
      <c r="D902">
        <v>134</v>
      </c>
      <c r="E902">
        <v>234</v>
      </c>
      <c r="F902">
        <v>0</v>
      </c>
      <c r="G902">
        <v>1</v>
      </c>
      <c r="H902">
        <v>145</v>
      </c>
      <c r="I902">
        <v>0</v>
      </c>
      <c r="J902">
        <v>2.6</v>
      </c>
      <c r="K902">
        <v>1</v>
      </c>
      <c r="L902">
        <v>2</v>
      </c>
      <c r="M902">
        <v>2</v>
      </c>
      <c r="N902">
        <v>0</v>
      </c>
      <c r="O902" t="str">
        <f t="shared" si="84"/>
        <v>Male</v>
      </c>
      <c r="P902" t="str">
        <f t="shared" si="85"/>
        <v>No Disease</v>
      </c>
      <c r="Q902" t="str">
        <f t="shared" si="86"/>
        <v>Asymptomatic</v>
      </c>
      <c r="R902" t="str">
        <f t="shared" si="87"/>
        <v>Normal</v>
      </c>
      <c r="S902" t="str">
        <f t="shared" si="88"/>
        <v>No</v>
      </c>
      <c r="T902" t="str" cm="1">
        <f t="array" ref="T902">_xlfn.IFS(A901&lt;30,"18-29",A901&lt;40,"30-39",A901&lt;50,"40-49",A901&lt;60,"50-59",A901&gt;=60,"60+")</f>
        <v>50-59</v>
      </c>
      <c r="U902" t="str">
        <f t="shared" si="89"/>
        <v>High (Stage 1)</v>
      </c>
    </row>
    <row r="903" spans="1:21">
      <c r="A903">
        <v>42</v>
      </c>
      <c r="B903">
        <v>0</v>
      </c>
      <c r="C903">
        <v>0</v>
      </c>
      <c r="D903">
        <v>102</v>
      </c>
      <c r="E903">
        <v>265</v>
      </c>
      <c r="F903">
        <v>0</v>
      </c>
      <c r="G903">
        <v>0</v>
      </c>
      <c r="H903">
        <v>122</v>
      </c>
      <c r="I903">
        <v>0</v>
      </c>
      <c r="J903">
        <v>0.6</v>
      </c>
      <c r="K903">
        <v>1</v>
      </c>
      <c r="L903">
        <v>0</v>
      </c>
      <c r="M903">
        <v>2</v>
      </c>
      <c r="N903">
        <v>1</v>
      </c>
      <c r="O903" t="str">
        <f t="shared" si="84"/>
        <v>Female</v>
      </c>
      <c r="P903" t="str">
        <f t="shared" si="85"/>
        <v>Heart Disease</v>
      </c>
      <c r="Q903" t="str">
        <f t="shared" si="86"/>
        <v>Typical Angina</v>
      </c>
      <c r="R903" t="str">
        <f t="shared" si="87"/>
        <v>Normal</v>
      </c>
      <c r="S903" t="str">
        <f t="shared" si="88"/>
        <v>No</v>
      </c>
      <c r="T903" t="str" cm="1">
        <f t="array" ref="T903">_xlfn.IFS(A902&lt;30,"18-29",A902&lt;40,"30-39",A902&lt;50,"40-49",A902&lt;60,"50-59",A902&gt;=60,"60+")</f>
        <v>60+</v>
      </c>
      <c r="U903" t="str">
        <f t="shared" si="89"/>
        <v>Normal</v>
      </c>
    </row>
    <row r="904" spans="1:21">
      <c r="A904">
        <v>62</v>
      </c>
      <c r="B904">
        <v>0</v>
      </c>
      <c r="C904">
        <v>0</v>
      </c>
      <c r="D904">
        <v>140</v>
      </c>
      <c r="E904">
        <v>268</v>
      </c>
      <c r="F904">
        <v>0</v>
      </c>
      <c r="G904">
        <v>0</v>
      </c>
      <c r="H904">
        <v>160</v>
      </c>
      <c r="I904">
        <v>0</v>
      </c>
      <c r="J904">
        <v>3.6</v>
      </c>
      <c r="K904">
        <v>0</v>
      </c>
      <c r="L904">
        <v>2</v>
      </c>
      <c r="M904">
        <v>2</v>
      </c>
      <c r="N904">
        <v>0</v>
      </c>
      <c r="O904" t="str">
        <f t="shared" si="84"/>
        <v>Female</v>
      </c>
      <c r="P904" t="str">
        <f t="shared" si="85"/>
        <v>No Disease</v>
      </c>
      <c r="Q904" t="str">
        <f t="shared" si="86"/>
        <v>Typical Angina</v>
      </c>
      <c r="R904" t="str">
        <f t="shared" si="87"/>
        <v>Normal</v>
      </c>
      <c r="S904" t="str">
        <f t="shared" si="88"/>
        <v>No</v>
      </c>
      <c r="T904" t="str" cm="1">
        <f t="array" ref="T904">_xlfn.IFS(A903&lt;30,"18-29",A903&lt;40,"30-39",A903&lt;50,"40-49",A903&lt;60,"50-59",A903&gt;=60,"60+")</f>
        <v>40-49</v>
      </c>
      <c r="U904" t="str">
        <f t="shared" si="89"/>
        <v>High (Stage 2)</v>
      </c>
    </row>
    <row r="905" spans="1:21">
      <c r="A905">
        <v>59</v>
      </c>
      <c r="B905">
        <v>1</v>
      </c>
      <c r="C905">
        <v>2</v>
      </c>
      <c r="D905">
        <v>126</v>
      </c>
      <c r="E905">
        <v>218</v>
      </c>
      <c r="F905">
        <v>1</v>
      </c>
      <c r="G905">
        <v>1</v>
      </c>
      <c r="H905">
        <v>134</v>
      </c>
      <c r="I905">
        <v>0</v>
      </c>
      <c r="J905">
        <v>2.2000000000000002</v>
      </c>
      <c r="K905">
        <v>1</v>
      </c>
      <c r="L905">
        <v>1</v>
      </c>
      <c r="M905">
        <v>1</v>
      </c>
      <c r="N905">
        <v>0</v>
      </c>
      <c r="O905" t="str">
        <f t="shared" si="84"/>
        <v>Male</v>
      </c>
      <c r="P905" t="str">
        <f t="shared" si="85"/>
        <v>No Disease</v>
      </c>
      <c r="Q905" t="str">
        <f t="shared" si="86"/>
        <v>Non-Anginal Pain</v>
      </c>
      <c r="R905" t="str">
        <f t="shared" si="87"/>
        <v>High</v>
      </c>
      <c r="S905" t="str">
        <f t="shared" si="88"/>
        <v>No</v>
      </c>
      <c r="T905" t="str" cm="1">
        <f t="array" ref="T905">_xlfn.IFS(A904&lt;30,"18-29",A904&lt;40,"30-39",A904&lt;50,"40-49",A904&lt;60,"50-59",A904&gt;=60,"60+")</f>
        <v>60+</v>
      </c>
      <c r="U905" t="str">
        <f t="shared" si="89"/>
        <v>Elevated</v>
      </c>
    </row>
    <row r="906" spans="1:21">
      <c r="A906">
        <v>55</v>
      </c>
      <c r="B906">
        <v>1</v>
      </c>
      <c r="C906">
        <v>1</v>
      </c>
      <c r="D906">
        <v>130</v>
      </c>
      <c r="E906">
        <v>262</v>
      </c>
      <c r="F906">
        <v>0</v>
      </c>
      <c r="G906">
        <v>1</v>
      </c>
      <c r="H906">
        <v>155</v>
      </c>
      <c r="I906">
        <v>0</v>
      </c>
      <c r="J906">
        <v>0</v>
      </c>
      <c r="K906">
        <v>2</v>
      </c>
      <c r="L906">
        <v>0</v>
      </c>
      <c r="M906">
        <v>2</v>
      </c>
      <c r="N906">
        <v>1</v>
      </c>
      <c r="O906" t="str">
        <f t="shared" si="84"/>
        <v>Male</v>
      </c>
      <c r="P906" t="str">
        <f t="shared" si="85"/>
        <v>Heart Disease</v>
      </c>
      <c r="Q906" t="str">
        <f t="shared" si="86"/>
        <v>Atypical Angina</v>
      </c>
      <c r="R906" t="str">
        <f t="shared" si="87"/>
        <v>Normal</v>
      </c>
      <c r="S906" t="str">
        <f t="shared" si="88"/>
        <v>No</v>
      </c>
      <c r="T906" t="str" cm="1">
        <f t="array" ref="T906">_xlfn.IFS(A905&lt;30,"18-29",A905&lt;40,"30-39",A905&lt;50,"40-49",A905&lt;60,"50-59",A905&gt;=60,"60+")</f>
        <v>50-59</v>
      </c>
      <c r="U906" t="str">
        <f t="shared" si="89"/>
        <v>High (Stage 1)</v>
      </c>
    </row>
    <row r="907" spans="1:21">
      <c r="A907">
        <v>64</v>
      </c>
      <c r="B907">
        <v>1</v>
      </c>
      <c r="C907">
        <v>0</v>
      </c>
      <c r="D907">
        <v>120</v>
      </c>
      <c r="E907">
        <v>246</v>
      </c>
      <c r="F907">
        <v>0</v>
      </c>
      <c r="G907">
        <v>0</v>
      </c>
      <c r="H907">
        <v>96</v>
      </c>
      <c r="I907">
        <v>1</v>
      </c>
      <c r="J907">
        <v>2.2000000000000002</v>
      </c>
      <c r="K907">
        <v>0</v>
      </c>
      <c r="L907">
        <v>1</v>
      </c>
      <c r="M907">
        <v>2</v>
      </c>
      <c r="N907">
        <v>0</v>
      </c>
      <c r="O907" t="str">
        <f t="shared" si="84"/>
        <v>Male</v>
      </c>
      <c r="P907" t="str">
        <f t="shared" si="85"/>
        <v>No Disease</v>
      </c>
      <c r="Q907" t="str">
        <f t="shared" si="86"/>
        <v>Typical Angina</v>
      </c>
      <c r="R907" t="str">
        <f t="shared" si="87"/>
        <v>Normal</v>
      </c>
      <c r="S907" t="str">
        <f t="shared" si="88"/>
        <v>Yes</v>
      </c>
      <c r="T907" t="str" cm="1">
        <f t="array" ref="T907">_xlfn.IFS(A906&lt;30,"18-29",A906&lt;40,"30-39",A906&lt;50,"40-49",A906&lt;60,"50-59",A906&gt;=60,"60+")</f>
        <v>50-59</v>
      </c>
      <c r="U907" t="str">
        <f t="shared" si="89"/>
        <v>Elevated</v>
      </c>
    </row>
    <row r="908" spans="1:21">
      <c r="A908">
        <v>42</v>
      </c>
      <c r="B908">
        <v>1</v>
      </c>
      <c r="C908">
        <v>0</v>
      </c>
      <c r="D908">
        <v>140</v>
      </c>
      <c r="E908">
        <v>226</v>
      </c>
      <c r="F908">
        <v>0</v>
      </c>
      <c r="G908">
        <v>1</v>
      </c>
      <c r="H908">
        <v>178</v>
      </c>
      <c r="I908">
        <v>0</v>
      </c>
      <c r="J908">
        <v>0</v>
      </c>
      <c r="K908">
        <v>2</v>
      </c>
      <c r="L908">
        <v>0</v>
      </c>
      <c r="M908">
        <v>2</v>
      </c>
      <c r="N908">
        <v>1</v>
      </c>
      <c r="O908" t="str">
        <f t="shared" si="84"/>
        <v>Male</v>
      </c>
      <c r="P908" t="str">
        <f t="shared" si="85"/>
        <v>Heart Disease</v>
      </c>
      <c r="Q908" t="str">
        <f t="shared" si="86"/>
        <v>Typical Angina</v>
      </c>
      <c r="R908" t="str">
        <f t="shared" si="87"/>
        <v>Normal</v>
      </c>
      <c r="S908" t="str">
        <f t="shared" si="88"/>
        <v>No</v>
      </c>
      <c r="T908" t="str" cm="1">
        <f t="array" ref="T908">_xlfn.IFS(A907&lt;30,"18-29",A907&lt;40,"30-39",A907&lt;50,"40-49",A907&lt;60,"50-59",A907&gt;=60,"60+")</f>
        <v>60+</v>
      </c>
      <c r="U908" t="str">
        <f t="shared" si="89"/>
        <v>High (Stage 2)</v>
      </c>
    </row>
    <row r="909" spans="1:21">
      <c r="A909">
        <v>50</v>
      </c>
      <c r="B909">
        <v>0</v>
      </c>
      <c r="C909">
        <v>1</v>
      </c>
      <c r="D909">
        <v>120</v>
      </c>
      <c r="E909">
        <v>244</v>
      </c>
      <c r="F909">
        <v>0</v>
      </c>
      <c r="G909">
        <v>1</v>
      </c>
      <c r="H909">
        <v>162</v>
      </c>
      <c r="I909">
        <v>0</v>
      </c>
      <c r="J909">
        <v>1.1000000000000001</v>
      </c>
      <c r="K909">
        <v>2</v>
      </c>
      <c r="L909">
        <v>0</v>
      </c>
      <c r="M909">
        <v>2</v>
      </c>
      <c r="N909">
        <v>1</v>
      </c>
      <c r="O909" t="str">
        <f t="shared" si="84"/>
        <v>Female</v>
      </c>
      <c r="P909" t="str">
        <f t="shared" si="85"/>
        <v>Heart Disease</v>
      </c>
      <c r="Q909" t="str">
        <f t="shared" si="86"/>
        <v>Atypical Angina</v>
      </c>
      <c r="R909" t="str">
        <f t="shared" si="87"/>
        <v>Normal</v>
      </c>
      <c r="S909" t="str">
        <f t="shared" si="88"/>
        <v>No</v>
      </c>
      <c r="T909" t="str" cm="1">
        <f t="array" ref="T909">_xlfn.IFS(A908&lt;30,"18-29",A908&lt;40,"30-39",A908&lt;50,"40-49",A908&lt;60,"50-59",A908&gt;=60,"60+")</f>
        <v>40-49</v>
      </c>
      <c r="U909" t="str">
        <f t="shared" si="89"/>
        <v>Elevated</v>
      </c>
    </row>
    <row r="910" spans="1:21">
      <c r="A910">
        <v>62</v>
      </c>
      <c r="B910">
        <v>1</v>
      </c>
      <c r="C910">
        <v>0</v>
      </c>
      <c r="D910">
        <v>120</v>
      </c>
      <c r="E910">
        <v>267</v>
      </c>
      <c r="F910">
        <v>0</v>
      </c>
      <c r="G910">
        <v>1</v>
      </c>
      <c r="H910">
        <v>99</v>
      </c>
      <c r="I910">
        <v>1</v>
      </c>
      <c r="J910">
        <v>1.8</v>
      </c>
      <c r="K910">
        <v>1</v>
      </c>
      <c r="L910">
        <v>2</v>
      </c>
      <c r="M910">
        <v>3</v>
      </c>
      <c r="N910">
        <v>0</v>
      </c>
      <c r="O910" t="str">
        <f t="shared" si="84"/>
        <v>Male</v>
      </c>
      <c r="P910" t="str">
        <f t="shared" si="85"/>
        <v>No Disease</v>
      </c>
      <c r="Q910" t="str">
        <f t="shared" si="86"/>
        <v>Typical Angina</v>
      </c>
      <c r="R910" t="str">
        <f t="shared" si="87"/>
        <v>Normal</v>
      </c>
      <c r="S910" t="str">
        <f t="shared" si="88"/>
        <v>Yes</v>
      </c>
      <c r="T910" t="str" cm="1">
        <f t="array" ref="T910">_xlfn.IFS(A909&lt;30,"18-29",A909&lt;40,"30-39",A909&lt;50,"40-49",A909&lt;60,"50-59",A909&gt;=60,"60+")</f>
        <v>50-59</v>
      </c>
      <c r="U910" t="str">
        <f t="shared" si="89"/>
        <v>Elevated</v>
      </c>
    </row>
    <row r="911" spans="1:21">
      <c r="A911">
        <v>50</v>
      </c>
      <c r="B911">
        <v>1</v>
      </c>
      <c r="C911">
        <v>0</v>
      </c>
      <c r="D911">
        <v>144</v>
      </c>
      <c r="E911">
        <v>200</v>
      </c>
      <c r="F911">
        <v>0</v>
      </c>
      <c r="G911">
        <v>0</v>
      </c>
      <c r="H911">
        <v>126</v>
      </c>
      <c r="I911">
        <v>1</v>
      </c>
      <c r="J911">
        <v>0.9</v>
      </c>
      <c r="K911">
        <v>1</v>
      </c>
      <c r="L911">
        <v>0</v>
      </c>
      <c r="M911">
        <v>3</v>
      </c>
      <c r="N911">
        <v>0</v>
      </c>
      <c r="O911" t="str">
        <f t="shared" si="84"/>
        <v>Male</v>
      </c>
      <c r="P911" t="str">
        <f t="shared" si="85"/>
        <v>No Disease</v>
      </c>
      <c r="Q911" t="str">
        <f t="shared" si="86"/>
        <v>Typical Angina</v>
      </c>
      <c r="R911" t="str">
        <f t="shared" si="87"/>
        <v>Normal</v>
      </c>
      <c r="S911" t="str">
        <f t="shared" si="88"/>
        <v>Yes</v>
      </c>
      <c r="T911" t="str" cm="1">
        <f t="array" ref="T911">_xlfn.IFS(A910&lt;30,"18-29",A910&lt;40,"30-39",A910&lt;50,"40-49",A910&lt;60,"50-59",A910&gt;=60,"60+")</f>
        <v>60+</v>
      </c>
      <c r="U911" t="str">
        <f t="shared" si="89"/>
        <v>High (Stage 2)</v>
      </c>
    </row>
    <row r="912" spans="1:21">
      <c r="A912">
        <v>50</v>
      </c>
      <c r="B912">
        <v>1</v>
      </c>
      <c r="C912">
        <v>2</v>
      </c>
      <c r="D912">
        <v>140</v>
      </c>
      <c r="E912">
        <v>233</v>
      </c>
      <c r="F912">
        <v>0</v>
      </c>
      <c r="G912">
        <v>1</v>
      </c>
      <c r="H912">
        <v>163</v>
      </c>
      <c r="I912">
        <v>0</v>
      </c>
      <c r="J912">
        <v>0.6</v>
      </c>
      <c r="K912">
        <v>1</v>
      </c>
      <c r="L912">
        <v>1</v>
      </c>
      <c r="M912">
        <v>3</v>
      </c>
      <c r="N912">
        <v>0</v>
      </c>
      <c r="O912" t="str">
        <f t="shared" si="84"/>
        <v>Male</v>
      </c>
      <c r="P912" t="str">
        <f t="shared" si="85"/>
        <v>No Disease</v>
      </c>
      <c r="Q912" t="str">
        <f t="shared" si="86"/>
        <v>Non-Anginal Pain</v>
      </c>
      <c r="R912" t="str">
        <f t="shared" si="87"/>
        <v>Normal</v>
      </c>
      <c r="S912" t="str">
        <f t="shared" si="88"/>
        <v>No</v>
      </c>
      <c r="T912" t="str" cm="1">
        <f t="array" ref="T912">_xlfn.IFS(A911&lt;30,"18-29",A911&lt;40,"30-39",A911&lt;50,"40-49",A911&lt;60,"50-59",A911&gt;=60,"60+")</f>
        <v>50-59</v>
      </c>
      <c r="U912" t="str">
        <f t="shared" si="89"/>
        <v>High (Stage 2)</v>
      </c>
    </row>
    <row r="913" spans="1:21">
      <c r="A913">
        <v>58</v>
      </c>
      <c r="B913">
        <v>0</v>
      </c>
      <c r="C913">
        <v>1</v>
      </c>
      <c r="D913">
        <v>136</v>
      </c>
      <c r="E913">
        <v>319</v>
      </c>
      <c r="F913">
        <v>1</v>
      </c>
      <c r="G913">
        <v>0</v>
      </c>
      <c r="H913">
        <v>152</v>
      </c>
      <c r="I913">
        <v>0</v>
      </c>
      <c r="J913">
        <v>0</v>
      </c>
      <c r="K913">
        <v>2</v>
      </c>
      <c r="L913">
        <v>2</v>
      </c>
      <c r="M913">
        <v>2</v>
      </c>
      <c r="N913">
        <v>0</v>
      </c>
      <c r="O913" t="str">
        <f t="shared" si="84"/>
        <v>Female</v>
      </c>
      <c r="P913" t="str">
        <f t="shared" si="85"/>
        <v>No Disease</v>
      </c>
      <c r="Q913" t="str">
        <f t="shared" si="86"/>
        <v>Atypical Angina</v>
      </c>
      <c r="R913" t="str">
        <f t="shared" si="87"/>
        <v>High</v>
      </c>
      <c r="S913" t="str">
        <f t="shared" si="88"/>
        <v>No</v>
      </c>
      <c r="T913" t="str" cm="1">
        <f t="array" ref="T913">_xlfn.IFS(A912&lt;30,"18-29",A912&lt;40,"30-39",A912&lt;50,"40-49",A912&lt;60,"50-59",A912&gt;=60,"60+")</f>
        <v>50-59</v>
      </c>
      <c r="U913" t="str">
        <f t="shared" si="89"/>
        <v>High (Stage 1)</v>
      </c>
    </row>
    <row r="914" spans="1:21">
      <c r="A914">
        <v>35</v>
      </c>
      <c r="B914">
        <v>1</v>
      </c>
      <c r="C914">
        <v>0</v>
      </c>
      <c r="D914">
        <v>120</v>
      </c>
      <c r="E914">
        <v>198</v>
      </c>
      <c r="F914">
        <v>0</v>
      </c>
      <c r="G914">
        <v>1</v>
      </c>
      <c r="H914">
        <v>130</v>
      </c>
      <c r="I914">
        <v>1</v>
      </c>
      <c r="J914">
        <v>1.6</v>
      </c>
      <c r="K914">
        <v>1</v>
      </c>
      <c r="L914">
        <v>0</v>
      </c>
      <c r="M914">
        <v>3</v>
      </c>
      <c r="N914">
        <v>0</v>
      </c>
      <c r="O914" t="str">
        <f t="shared" si="84"/>
        <v>Male</v>
      </c>
      <c r="P914" t="str">
        <f t="shared" si="85"/>
        <v>No Disease</v>
      </c>
      <c r="Q914" t="str">
        <f t="shared" si="86"/>
        <v>Typical Angina</v>
      </c>
      <c r="R914" t="str">
        <f t="shared" si="87"/>
        <v>Normal</v>
      </c>
      <c r="S914" t="str">
        <f t="shared" si="88"/>
        <v>Yes</v>
      </c>
      <c r="T914" t="str" cm="1">
        <f t="array" ref="T914">_xlfn.IFS(A913&lt;30,"18-29",A913&lt;40,"30-39",A913&lt;50,"40-49",A913&lt;60,"50-59",A913&gt;=60,"60+")</f>
        <v>50-59</v>
      </c>
      <c r="U914" t="str">
        <f t="shared" si="89"/>
        <v>Elevated</v>
      </c>
    </row>
    <row r="915" spans="1:21">
      <c r="A915">
        <v>45</v>
      </c>
      <c r="B915">
        <v>1</v>
      </c>
      <c r="C915">
        <v>0</v>
      </c>
      <c r="D915">
        <v>104</v>
      </c>
      <c r="E915">
        <v>208</v>
      </c>
      <c r="F915">
        <v>0</v>
      </c>
      <c r="G915">
        <v>0</v>
      </c>
      <c r="H915">
        <v>148</v>
      </c>
      <c r="I915">
        <v>1</v>
      </c>
      <c r="J915">
        <v>3</v>
      </c>
      <c r="K915">
        <v>1</v>
      </c>
      <c r="L915">
        <v>0</v>
      </c>
      <c r="M915">
        <v>2</v>
      </c>
      <c r="N915">
        <v>1</v>
      </c>
      <c r="O915" t="str">
        <f t="shared" si="84"/>
        <v>Male</v>
      </c>
      <c r="P915" t="str">
        <f t="shared" si="85"/>
        <v>Heart Disease</v>
      </c>
      <c r="Q915" t="str">
        <f t="shared" si="86"/>
        <v>Typical Angina</v>
      </c>
      <c r="R915" t="str">
        <f t="shared" si="87"/>
        <v>Normal</v>
      </c>
      <c r="S915" t="str">
        <f t="shared" si="88"/>
        <v>Yes</v>
      </c>
      <c r="T915" t="str" cm="1">
        <f t="array" ref="T915">_xlfn.IFS(A914&lt;30,"18-29",A914&lt;40,"30-39",A914&lt;50,"40-49",A914&lt;60,"50-59",A914&gt;=60,"60+")</f>
        <v>30-39</v>
      </c>
      <c r="U915" t="str">
        <f t="shared" si="89"/>
        <v>Normal</v>
      </c>
    </row>
    <row r="916" spans="1:21">
      <c r="A916">
        <v>66</v>
      </c>
      <c r="B916">
        <v>1</v>
      </c>
      <c r="C916">
        <v>0</v>
      </c>
      <c r="D916">
        <v>112</v>
      </c>
      <c r="E916">
        <v>212</v>
      </c>
      <c r="F916">
        <v>0</v>
      </c>
      <c r="G916">
        <v>0</v>
      </c>
      <c r="H916">
        <v>132</v>
      </c>
      <c r="I916">
        <v>1</v>
      </c>
      <c r="J916">
        <v>0.1</v>
      </c>
      <c r="K916">
        <v>2</v>
      </c>
      <c r="L916">
        <v>1</v>
      </c>
      <c r="M916">
        <v>2</v>
      </c>
      <c r="N916">
        <v>0</v>
      </c>
      <c r="O916" t="str">
        <f t="shared" si="84"/>
        <v>Male</v>
      </c>
      <c r="P916" t="str">
        <f t="shared" si="85"/>
        <v>No Disease</v>
      </c>
      <c r="Q916" t="str">
        <f t="shared" si="86"/>
        <v>Typical Angina</v>
      </c>
      <c r="R916" t="str">
        <f t="shared" si="87"/>
        <v>Normal</v>
      </c>
      <c r="S916" t="str">
        <f t="shared" si="88"/>
        <v>Yes</v>
      </c>
      <c r="T916" t="str" cm="1">
        <f t="array" ref="T916">_xlfn.IFS(A915&lt;30,"18-29",A915&lt;40,"30-39",A915&lt;50,"40-49",A915&lt;60,"50-59",A915&gt;=60,"60+")</f>
        <v>40-49</v>
      </c>
      <c r="U916" t="str">
        <f t="shared" si="89"/>
        <v>Normal</v>
      </c>
    </row>
    <row r="917" spans="1:21">
      <c r="A917">
        <v>46</v>
      </c>
      <c r="B917">
        <v>1</v>
      </c>
      <c r="C917">
        <v>0</v>
      </c>
      <c r="D917">
        <v>120</v>
      </c>
      <c r="E917">
        <v>249</v>
      </c>
      <c r="F917">
        <v>0</v>
      </c>
      <c r="G917">
        <v>0</v>
      </c>
      <c r="H917">
        <v>144</v>
      </c>
      <c r="I917">
        <v>0</v>
      </c>
      <c r="J917">
        <v>0.8</v>
      </c>
      <c r="K917">
        <v>2</v>
      </c>
      <c r="L917">
        <v>0</v>
      </c>
      <c r="M917">
        <v>3</v>
      </c>
      <c r="N917">
        <v>0</v>
      </c>
      <c r="O917" t="str">
        <f t="shared" si="84"/>
        <v>Male</v>
      </c>
      <c r="P917" t="str">
        <f t="shared" si="85"/>
        <v>No Disease</v>
      </c>
      <c r="Q917" t="str">
        <f t="shared" si="86"/>
        <v>Typical Angina</v>
      </c>
      <c r="R917" t="str">
        <f t="shared" si="87"/>
        <v>Normal</v>
      </c>
      <c r="S917" t="str">
        <f t="shared" si="88"/>
        <v>No</v>
      </c>
      <c r="T917" t="str" cm="1">
        <f t="array" ref="T917">_xlfn.IFS(A916&lt;30,"18-29",A916&lt;40,"30-39",A916&lt;50,"40-49",A916&lt;60,"50-59",A916&gt;=60,"60+")</f>
        <v>60+</v>
      </c>
      <c r="U917" t="str">
        <f t="shared" si="89"/>
        <v>Elevated</v>
      </c>
    </row>
    <row r="918" spans="1:21">
      <c r="A918">
        <v>65</v>
      </c>
      <c r="B918">
        <v>1</v>
      </c>
      <c r="C918">
        <v>0</v>
      </c>
      <c r="D918">
        <v>135</v>
      </c>
      <c r="E918">
        <v>254</v>
      </c>
      <c r="F918">
        <v>0</v>
      </c>
      <c r="G918">
        <v>0</v>
      </c>
      <c r="H918">
        <v>127</v>
      </c>
      <c r="I918">
        <v>0</v>
      </c>
      <c r="J918">
        <v>2.8</v>
      </c>
      <c r="K918">
        <v>1</v>
      </c>
      <c r="L918">
        <v>1</v>
      </c>
      <c r="M918">
        <v>3</v>
      </c>
      <c r="N918">
        <v>0</v>
      </c>
      <c r="O918" t="str">
        <f t="shared" si="84"/>
        <v>Male</v>
      </c>
      <c r="P918" t="str">
        <f t="shared" si="85"/>
        <v>No Disease</v>
      </c>
      <c r="Q918" t="str">
        <f t="shared" si="86"/>
        <v>Typical Angina</v>
      </c>
      <c r="R918" t="str">
        <f t="shared" si="87"/>
        <v>Normal</v>
      </c>
      <c r="S918" t="str">
        <f t="shared" si="88"/>
        <v>No</v>
      </c>
      <c r="T918" t="str" cm="1">
        <f t="array" ref="T918">_xlfn.IFS(A917&lt;30,"18-29",A917&lt;40,"30-39",A917&lt;50,"40-49",A917&lt;60,"50-59",A917&gt;=60,"60+")</f>
        <v>40-49</v>
      </c>
      <c r="U918" t="str">
        <f t="shared" si="89"/>
        <v>High (Stage 1)</v>
      </c>
    </row>
    <row r="919" spans="1:21">
      <c r="A919">
        <v>47</v>
      </c>
      <c r="B919">
        <v>1</v>
      </c>
      <c r="C919">
        <v>2</v>
      </c>
      <c r="D919">
        <v>130</v>
      </c>
      <c r="E919">
        <v>253</v>
      </c>
      <c r="F919">
        <v>0</v>
      </c>
      <c r="G919">
        <v>1</v>
      </c>
      <c r="H919">
        <v>179</v>
      </c>
      <c r="I919">
        <v>0</v>
      </c>
      <c r="J919">
        <v>0</v>
      </c>
      <c r="K919">
        <v>2</v>
      </c>
      <c r="L919">
        <v>0</v>
      </c>
      <c r="M919">
        <v>2</v>
      </c>
      <c r="N919">
        <v>1</v>
      </c>
      <c r="O919" t="str">
        <f t="shared" si="84"/>
        <v>Male</v>
      </c>
      <c r="P919" t="str">
        <f t="shared" si="85"/>
        <v>Heart Disease</v>
      </c>
      <c r="Q919" t="str">
        <f t="shared" si="86"/>
        <v>Non-Anginal Pain</v>
      </c>
      <c r="R919" t="str">
        <f t="shared" si="87"/>
        <v>Normal</v>
      </c>
      <c r="S919" t="str">
        <f t="shared" si="88"/>
        <v>No</v>
      </c>
      <c r="T919" t="str" cm="1">
        <f t="array" ref="T919">_xlfn.IFS(A918&lt;30,"18-29",A918&lt;40,"30-39",A918&lt;50,"40-49",A918&lt;60,"50-59",A918&gt;=60,"60+")</f>
        <v>60+</v>
      </c>
      <c r="U919" t="str">
        <f t="shared" si="89"/>
        <v>High (Stage 1)</v>
      </c>
    </row>
    <row r="920" spans="1:21">
      <c r="A920">
        <v>59</v>
      </c>
      <c r="B920">
        <v>1</v>
      </c>
      <c r="C920">
        <v>3</v>
      </c>
      <c r="D920">
        <v>134</v>
      </c>
      <c r="E920">
        <v>204</v>
      </c>
      <c r="F920">
        <v>0</v>
      </c>
      <c r="G920">
        <v>1</v>
      </c>
      <c r="H920">
        <v>162</v>
      </c>
      <c r="I920">
        <v>0</v>
      </c>
      <c r="J920">
        <v>0.8</v>
      </c>
      <c r="K920">
        <v>2</v>
      </c>
      <c r="L920">
        <v>2</v>
      </c>
      <c r="M920">
        <v>2</v>
      </c>
      <c r="N920">
        <v>0</v>
      </c>
      <c r="O920" t="str">
        <f t="shared" si="84"/>
        <v>Male</v>
      </c>
      <c r="P920" t="str">
        <f t="shared" si="85"/>
        <v>No Disease</v>
      </c>
      <c r="Q920" t="str">
        <f t="shared" si="86"/>
        <v>Asymptomatic</v>
      </c>
      <c r="R920" t="str">
        <f t="shared" si="87"/>
        <v>Normal</v>
      </c>
      <c r="S920" t="str">
        <f t="shared" si="88"/>
        <v>No</v>
      </c>
      <c r="T920" t="str" cm="1">
        <f t="array" ref="T920">_xlfn.IFS(A919&lt;30,"18-29",A919&lt;40,"30-39",A919&lt;50,"40-49",A919&lt;60,"50-59",A919&gt;=60,"60+")</f>
        <v>40-49</v>
      </c>
      <c r="U920" t="str">
        <f t="shared" si="89"/>
        <v>High (Stage 1)</v>
      </c>
    </row>
    <row r="921" spans="1:21">
      <c r="A921">
        <v>38</v>
      </c>
      <c r="B921">
        <v>1</v>
      </c>
      <c r="C921">
        <v>3</v>
      </c>
      <c r="D921">
        <v>120</v>
      </c>
      <c r="E921">
        <v>231</v>
      </c>
      <c r="F921">
        <v>0</v>
      </c>
      <c r="G921">
        <v>1</v>
      </c>
      <c r="H921">
        <v>182</v>
      </c>
      <c r="I921">
        <v>1</v>
      </c>
      <c r="J921">
        <v>3.8</v>
      </c>
      <c r="K921">
        <v>1</v>
      </c>
      <c r="L921">
        <v>0</v>
      </c>
      <c r="M921">
        <v>3</v>
      </c>
      <c r="N921">
        <v>0</v>
      </c>
      <c r="O921" t="str">
        <f t="shared" si="84"/>
        <v>Male</v>
      </c>
      <c r="P921" t="str">
        <f t="shared" si="85"/>
        <v>No Disease</v>
      </c>
      <c r="Q921" t="str">
        <f t="shared" si="86"/>
        <v>Asymptomatic</v>
      </c>
      <c r="R921" t="str">
        <f t="shared" si="87"/>
        <v>Normal</v>
      </c>
      <c r="S921" t="str">
        <f t="shared" si="88"/>
        <v>Yes</v>
      </c>
      <c r="T921" t="str" cm="1">
        <f t="array" ref="T921">_xlfn.IFS(A920&lt;30,"18-29",A920&lt;40,"30-39",A920&lt;50,"40-49",A920&lt;60,"50-59",A920&gt;=60,"60+")</f>
        <v>50-59</v>
      </c>
      <c r="U921" t="str">
        <f t="shared" si="89"/>
        <v>Elevated</v>
      </c>
    </row>
    <row r="922" spans="1:21">
      <c r="A922">
        <v>39</v>
      </c>
      <c r="B922">
        <v>1</v>
      </c>
      <c r="C922">
        <v>0</v>
      </c>
      <c r="D922">
        <v>118</v>
      </c>
      <c r="E922">
        <v>219</v>
      </c>
      <c r="F922">
        <v>0</v>
      </c>
      <c r="G922">
        <v>1</v>
      </c>
      <c r="H922">
        <v>140</v>
      </c>
      <c r="I922">
        <v>0</v>
      </c>
      <c r="J922">
        <v>1.2</v>
      </c>
      <c r="K922">
        <v>1</v>
      </c>
      <c r="L922">
        <v>0</v>
      </c>
      <c r="M922">
        <v>3</v>
      </c>
      <c r="N922">
        <v>0</v>
      </c>
      <c r="O922" t="str">
        <f t="shared" si="84"/>
        <v>Male</v>
      </c>
      <c r="P922" t="str">
        <f t="shared" si="85"/>
        <v>No Disease</v>
      </c>
      <c r="Q922" t="str">
        <f t="shared" si="86"/>
        <v>Typical Angina</v>
      </c>
      <c r="R922" t="str">
        <f t="shared" si="87"/>
        <v>Normal</v>
      </c>
      <c r="S922" t="str">
        <f t="shared" si="88"/>
        <v>No</v>
      </c>
      <c r="T922" t="str" cm="1">
        <f t="array" ref="T922">_xlfn.IFS(A921&lt;30,"18-29",A921&lt;40,"30-39",A921&lt;50,"40-49",A921&lt;60,"50-59",A921&gt;=60,"60+")</f>
        <v>30-39</v>
      </c>
      <c r="U922" t="str">
        <f t="shared" si="89"/>
        <v>Normal</v>
      </c>
    </row>
    <row r="923" spans="1:21">
      <c r="A923">
        <v>58</v>
      </c>
      <c r="B923">
        <v>1</v>
      </c>
      <c r="C923">
        <v>0</v>
      </c>
      <c r="D923">
        <v>146</v>
      </c>
      <c r="E923">
        <v>218</v>
      </c>
      <c r="F923">
        <v>0</v>
      </c>
      <c r="G923">
        <v>1</v>
      </c>
      <c r="H923">
        <v>105</v>
      </c>
      <c r="I923">
        <v>0</v>
      </c>
      <c r="J923">
        <v>2</v>
      </c>
      <c r="K923">
        <v>1</v>
      </c>
      <c r="L923">
        <v>1</v>
      </c>
      <c r="M923">
        <v>3</v>
      </c>
      <c r="N923">
        <v>0</v>
      </c>
      <c r="O923" t="str">
        <f t="shared" si="84"/>
        <v>Male</v>
      </c>
      <c r="P923" t="str">
        <f t="shared" si="85"/>
        <v>No Disease</v>
      </c>
      <c r="Q923" t="str">
        <f t="shared" si="86"/>
        <v>Typical Angina</v>
      </c>
      <c r="R923" t="str">
        <f t="shared" si="87"/>
        <v>Normal</v>
      </c>
      <c r="S923" t="str">
        <f t="shared" si="88"/>
        <v>No</v>
      </c>
      <c r="T923" t="str" cm="1">
        <f t="array" ref="T923">_xlfn.IFS(A922&lt;30,"18-29",A922&lt;40,"30-39",A922&lt;50,"40-49",A922&lt;60,"50-59",A922&gt;=60,"60+")</f>
        <v>30-39</v>
      </c>
      <c r="U923" t="str">
        <f t="shared" si="89"/>
        <v>High (Stage 2)</v>
      </c>
    </row>
    <row r="924" spans="1:21">
      <c r="A924">
        <v>44</v>
      </c>
      <c r="B924">
        <v>1</v>
      </c>
      <c r="C924">
        <v>1</v>
      </c>
      <c r="D924">
        <v>120</v>
      </c>
      <c r="E924">
        <v>263</v>
      </c>
      <c r="F924">
        <v>0</v>
      </c>
      <c r="G924">
        <v>1</v>
      </c>
      <c r="H924">
        <v>173</v>
      </c>
      <c r="I924">
        <v>0</v>
      </c>
      <c r="J924">
        <v>0</v>
      </c>
      <c r="K924">
        <v>2</v>
      </c>
      <c r="L924">
        <v>0</v>
      </c>
      <c r="M924">
        <v>3</v>
      </c>
      <c r="N924">
        <v>1</v>
      </c>
      <c r="O924" t="str">
        <f t="shared" si="84"/>
        <v>Male</v>
      </c>
      <c r="P924" t="str">
        <f t="shared" si="85"/>
        <v>Heart Disease</v>
      </c>
      <c r="Q924" t="str">
        <f t="shared" si="86"/>
        <v>Atypical Angina</v>
      </c>
      <c r="R924" t="str">
        <f t="shared" si="87"/>
        <v>Normal</v>
      </c>
      <c r="S924" t="str">
        <f t="shared" si="88"/>
        <v>No</v>
      </c>
      <c r="T924" t="str" cm="1">
        <f t="array" ref="T924">_xlfn.IFS(A923&lt;30,"18-29",A923&lt;40,"30-39",A923&lt;50,"40-49",A923&lt;60,"50-59",A923&gt;=60,"60+")</f>
        <v>50-59</v>
      </c>
      <c r="U924" t="str">
        <f t="shared" si="89"/>
        <v>Elevated</v>
      </c>
    </row>
    <row r="925" spans="1:21">
      <c r="A925">
        <v>54</v>
      </c>
      <c r="B925">
        <v>1</v>
      </c>
      <c r="C925">
        <v>0</v>
      </c>
      <c r="D925">
        <v>140</v>
      </c>
      <c r="E925">
        <v>239</v>
      </c>
      <c r="F925">
        <v>0</v>
      </c>
      <c r="G925">
        <v>1</v>
      </c>
      <c r="H925">
        <v>160</v>
      </c>
      <c r="I925">
        <v>0</v>
      </c>
      <c r="J925">
        <v>1.2</v>
      </c>
      <c r="K925">
        <v>2</v>
      </c>
      <c r="L925">
        <v>0</v>
      </c>
      <c r="M925">
        <v>2</v>
      </c>
      <c r="N925">
        <v>1</v>
      </c>
      <c r="O925" t="str">
        <f t="shared" si="84"/>
        <v>Male</v>
      </c>
      <c r="P925" t="str">
        <f t="shared" si="85"/>
        <v>Heart Disease</v>
      </c>
      <c r="Q925" t="str">
        <f t="shared" si="86"/>
        <v>Typical Angina</v>
      </c>
      <c r="R925" t="str">
        <f t="shared" si="87"/>
        <v>Normal</v>
      </c>
      <c r="S925" t="str">
        <f t="shared" si="88"/>
        <v>No</v>
      </c>
      <c r="T925" t="str" cm="1">
        <f t="array" ref="T925">_xlfn.IFS(A924&lt;30,"18-29",A924&lt;40,"30-39",A924&lt;50,"40-49",A924&lt;60,"50-59",A924&gt;=60,"60+")</f>
        <v>40-49</v>
      </c>
      <c r="U925" t="str">
        <f t="shared" si="89"/>
        <v>High (Stage 2)</v>
      </c>
    </row>
    <row r="926" spans="1:21">
      <c r="A926">
        <v>61</v>
      </c>
      <c r="B926">
        <v>0</v>
      </c>
      <c r="C926">
        <v>0</v>
      </c>
      <c r="D926">
        <v>130</v>
      </c>
      <c r="E926">
        <v>330</v>
      </c>
      <c r="F926">
        <v>0</v>
      </c>
      <c r="G926">
        <v>0</v>
      </c>
      <c r="H926">
        <v>169</v>
      </c>
      <c r="I926">
        <v>0</v>
      </c>
      <c r="J926">
        <v>0</v>
      </c>
      <c r="K926">
        <v>2</v>
      </c>
      <c r="L926">
        <v>0</v>
      </c>
      <c r="M926">
        <v>2</v>
      </c>
      <c r="N926">
        <v>0</v>
      </c>
      <c r="O926" t="str">
        <f t="shared" si="84"/>
        <v>Female</v>
      </c>
      <c r="P926" t="str">
        <f t="shared" si="85"/>
        <v>No Disease</v>
      </c>
      <c r="Q926" t="str">
        <f t="shared" si="86"/>
        <v>Typical Angina</v>
      </c>
      <c r="R926" t="str">
        <f t="shared" si="87"/>
        <v>Normal</v>
      </c>
      <c r="S926" t="str">
        <f t="shared" si="88"/>
        <v>No</v>
      </c>
      <c r="T926" t="str" cm="1">
        <f t="array" ref="T926">_xlfn.IFS(A925&lt;30,"18-29",A925&lt;40,"30-39",A925&lt;50,"40-49",A925&lt;60,"50-59",A925&gt;=60,"60+")</f>
        <v>50-59</v>
      </c>
      <c r="U926" t="str">
        <f t="shared" si="89"/>
        <v>High (Stage 1)</v>
      </c>
    </row>
    <row r="927" spans="1:21">
      <c r="A927">
        <v>57</v>
      </c>
      <c r="B927">
        <v>1</v>
      </c>
      <c r="C927">
        <v>0</v>
      </c>
      <c r="D927">
        <v>130</v>
      </c>
      <c r="E927">
        <v>131</v>
      </c>
      <c r="F927">
        <v>0</v>
      </c>
      <c r="G927">
        <v>1</v>
      </c>
      <c r="H927">
        <v>115</v>
      </c>
      <c r="I927">
        <v>1</v>
      </c>
      <c r="J927">
        <v>1.2</v>
      </c>
      <c r="K927">
        <v>1</v>
      </c>
      <c r="L927">
        <v>1</v>
      </c>
      <c r="M927">
        <v>3</v>
      </c>
      <c r="N927">
        <v>0</v>
      </c>
      <c r="O927" t="str">
        <f t="shared" si="84"/>
        <v>Male</v>
      </c>
      <c r="P927" t="str">
        <f t="shared" si="85"/>
        <v>No Disease</v>
      </c>
      <c r="Q927" t="str">
        <f t="shared" si="86"/>
        <v>Typical Angina</v>
      </c>
      <c r="R927" t="str">
        <f t="shared" si="87"/>
        <v>Normal</v>
      </c>
      <c r="S927" t="str">
        <f t="shared" si="88"/>
        <v>Yes</v>
      </c>
      <c r="T927" t="str" cm="1">
        <f t="array" ref="T927">_xlfn.IFS(A926&lt;30,"18-29",A926&lt;40,"30-39",A926&lt;50,"40-49",A926&lt;60,"50-59",A926&gt;=60,"60+")</f>
        <v>60+</v>
      </c>
      <c r="U927" t="str">
        <f t="shared" si="89"/>
        <v>High (Stage 1)</v>
      </c>
    </row>
    <row r="928" spans="1:21">
      <c r="A928">
        <v>54</v>
      </c>
      <c r="B928">
        <v>1</v>
      </c>
      <c r="C928">
        <v>0</v>
      </c>
      <c r="D928">
        <v>110</v>
      </c>
      <c r="E928">
        <v>206</v>
      </c>
      <c r="F928">
        <v>0</v>
      </c>
      <c r="G928">
        <v>0</v>
      </c>
      <c r="H928">
        <v>108</v>
      </c>
      <c r="I928">
        <v>1</v>
      </c>
      <c r="J928">
        <v>0</v>
      </c>
      <c r="K928">
        <v>1</v>
      </c>
      <c r="L928">
        <v>1</v>
      </c>
      <c r="M928">
        <v>2</v>
      </c>
      <c r="N928">
        <v>0</v>
      </c>
      <c r="O928" t="str">
        <f t="shared" si="84"/>
        <v>Male</v>
      </c>
      <c r="P928" t="str">
        <f t="shared" si="85"/>
        <v>No Disease</v>
      </c>
      <c r="Q928" t="str">
        <f t="shared" si="86"/>
        <v>Typical Angina</v>
      </c>
      <c r="R928" t="str">
        <f t="shared" si="87"/>
        <v>Normal</v>
      </c>
      <c r="S928" t="str">
        <f t="shared" si="88"/>
        <v>Yes</v>
      </c>
      <c r="T928" t="str" cm="1">
        <f t="array" ref="T928">_xlfn.IFS(A927&lt;30,"18-29",A927&lt;40,"30-39",A927&lt;50,"40-49",A927&lt;60,"50-59",A927&gt;=60,"60+")</f>
        <v>50-59</v>
      </c>
      <c r="U928" t="str">
        <f t="shared" si="89"/>
        <v>Normal</v>
      </c>
    </row>
    <row r="929" spans="1:21">
      <c r="A929">
        <v>42</v>
      </c>
      <c r="B929">
        <v>1</v>
      </c>
      <c r="C929">
        <v>2</v>
      </c>
      <c r="D929">
        <v>120</v>
      </c>
      <c r="E929">
        <v>240</v>
      </c>
      <c r="F929">
        <v>1</v>
      </c>
      <c r="G929">
        <v>1</v>
      </c>
      <c r="H929">
        <v>194</v>
      </c>
      <c r="I929">
        <v>0</v>
      </c>
      <c r="J929">
        <v>0.8</v>
      </c>
      <c r="K929">
        <v>0</v>
      </c>
      <c r="L929">
        <v>0</v>
      </c>
      <c r="M929">
        <v>3</v>
      </c>
      <c r="N929">
        <v>1</v>
      </c>
      <c r="O929" t="str">
        <f t="shared" si="84"/>
        <v>Male</v>
      </c>
      <c r="P929" t="str">
        <f t="shared" si="85"/>
        <v>Heart Disease</v>
      </c>
      <c r="Q929" t="str">
        <f t="shared" si="86"/>
        <v>Non-Anginal Pain</v>
      </c>
      <c r="R929" t="str">
        <f t="shared" si="87"/>
        <v>High</v>
      </c>
      <c r="S929" t="str">
        <f t="shared" si="88"/>
        <v>No</v>
      </c>
      <c r="T929" t="str" cm="1">
        <f t="array" ref="T929">_xlfn.IFS(A928&lt;30,"18-29",A928&lt;40,"30-39",A928&lt;50,"40-49",A928&lt;60,"50-59",A928&gt;=60,"60+")</f>
        <v>50-59</v>
      </c>
      <c r="U929" t="str">
        <f t="shared" si="89"/>
        <v>Elevated</v>
      </c>
    </row>
    <row r="930" spans="1:21">
      <c r="A930">
        <v>54</v>
      </c>
      <c r="B930">
        <v>1</v>
      </c>
      <c r="C930">
        <v>0</v>
      </c>
      <c r="D930">
        <v>124</v>
      </c>
      <c r="E930">
        <v>266</v>
      </c>
      <c r="F930">
        <v>0</v>
      </c>
      <c r="G930">
        <v>0</v>
      </c>
      <c r="H930">
        <v>109</v>
      </c>
      <c r="I930">
        <v>1</v>
      </c>
      <c r="J930">
        <v>2.2000000000000002</v>
      </c>
      <c r="K930">
        <v>1</v>
      </c>
      <c r="L930">
        <v>1</v>
      </c>
      <c r="M930">
        <v>3</v>
      </c>
      <c r="N930">
        <v>0</v>
      </c>
      <c r="O930" t="str">
        <f t="shared" si="84"/>
        <v>Male</v>
      </c>
      <c r="P930" t="str">
        <f t="shared" si="85"/>
        <v>No Disease</v>
      </c>
      <c r="Q930" t="str">
        <f t="shared" si="86"/>
        <v>Typical Angina</v>
      </c>
      <c r="R930" t="str">
        <f t="shared" si="87"/>
        <v>Normal</v>
      </c>
      <c r="S930" t="str">
        <f t="shared" si="88"/>
        <v>Yes</v>
      </c>
      <c r="T930" t="str" cm="1">
        <f t="array" ref="T930">_xlfn.IFS(A929&lt;30,"18-29",A929&lt;40,"30-39",A929&lt;50,"40-49",A929&lt;60,"50-59",A929&gt;=60,"60+")</f>
        <v>40-49</v>
      </c>
      <c r="U930" t="str">
        <f t="shared" si="89"/>
        <v>Elevated</v>
      </c>
    </row>
    <row r="931" spans="1:21">
      <c r="A931">
        <v>60</v>
      </c>
      <c r="B931">
        <v>1</v>
      </c>
      <c r="C931">
        <v>0</v>
      </c>
      <c r="D931">
        <v>130</v>
      </c>
      <c r="E931">
        <v>206</v>
      </c>
      <c r="F931">
        <v>0</v>
      </c>
      <c r="G931">
        <v>0</v>
      </c>
      <c r="H931">
        <v>132</v>
      </c>
      <c r="I931">
        <v>1</v>
      </c>
      <c r="J931">
        <v>2.4</v>
      </c>
      <c r="K931">
        <v>1</v>
      </c>
      <c r="L931">
        <v>2</v>
      </c>
      <c r="M931">
        <v>3</v>
      </c>
      <c r="N931">
        <v>0</v>
      </c>
      <c r="O931" t="str">
        <f t="shared" si="84"/>
        <v>Male</v>
      </c>
      <c r="P931" t="str">
        <f t="shared" si="85"/>
        <v>No Disease</v>
      </c>
      <c r="Q931" t="str">
        <f t="shared" si="86"/>
        <v>Typical Angina</v>
      </c>
      <c r="R931" t="str">
        <f t="shared" si="87"/>
        <v>Normal</v>
      </c>
      <c r="S931" t="str">
        <f t="shared" si="88"/>
        <v>Yes</v>
      </c>
      <c r="T931" t="str" cm="1">
        <f t="array" ref="T931">_xlfn.IFS(A930&lt;30,"18-29",A930&lt;40,"30-39",A930&lt;50,"40-49",A930&lt;60,"50-59",A930&gt;=60,"60+")</f>
        <v>50-59</v>
      </c>
      <c r="U931" t="str">
        <f t="shared" si="89"/>
        <v>High (Stage 1)</v>
      </c>
    </row>
    <row r="932" spans="1:21">
      <c r="A932">
        <v>65</v>
      </c>
      <c r="B932">
        <v>1</v>
      </c>
      <c r="C932">
        <v>0</v>
      </c>
      <c r="D932">
        <v>135</v>
      </c>
      <c r="E932">
        <v>254</v>
      </c>
      <c r="F932">
        <v>0</v>
      </c>
      <c r="G932">
        <v>0</v>
      </c>
      <c r="H932">
        <v>127</v>
      </c>
      <c r="I932">
        <v>0</v>
      </c>
      <c r="J932">
        <v>2.8</v>
      </c>
      <c r="K932">
        <v>1</v>
      </c>
      <c r="L932">
        <v>1</v>
      </c>
      <c r="M932">
        <v>3</v>
      </c>
      <c r="N932">
        <v>0</v>
      </c>
      <c r="O932" t="str">
        <f t="shared" si="84"/>
        <v>Male</v>
      </c>
      <c r="P932" t="str">
        <f t="shared" si="85"/>
        <v>No Disease</v>
      </c>
      <c r="Q932" t="str">
        <f t="shared" si="86"/>
        <v>Typical Angina</v>
      </c>
      <c r="R932" t="str">
        <f t="shared" si="87"/>
        <v>Normal</v>
      </c>
      <c r="S932" t="str">
        <f t="shared" si="88"/>
        <v>No</v>
      </c>
      <c r="T932" t="str" cm="1">
        <f t="array" ref="T932">_xlfn.IFS(A931&lt;30,"18-29",A931&lt;40,"30-39",A931&lt;50,"40-49",A931&lt;60,"50-59",A931&gt;=60,"60+")</f>
        <v>60+</v>
      </c>
      <c r="U932" t="str">
        <f t="shared" si="89"/>
        <v>High (Stage 1)</v>
      </c>
    </row>
    <row r="933" spans="1:21">
      <c r="A933">
        <v>40</v>
      </c>
      <c r="B933">
        <v>1</v>
      </c>
      <c r="C933">
        <v>0</v>
      </c>
      <c r="D933">
        <v>152</v>
      </c>
      <c r="E933">
        <v>223</v>
      </c>
      <c r="F933">
        <v>0</v>
      </c>
      <c r="G933">
        <v>1</v>
      </c>
      <c r="H933">
        <v>181</v>
      </c>
      <c r="I933">
        <v>0</v>
      </c>
      <c r="J933">
        <v>0</v>
      </c>
      <c r="K933">
        <v>2</v>
      </c>
      <c r="L933">
        <v>0</v>
      </c>
      <c r="M933">
        <v>3</v>
      </c>
      <c r="N933">
        <v>0</v>
      </c>
      <c r="O933" t="str">
        <f t="shared" si="84"/>
        <v>Male</v>
      </c>
      <c r="P933" t="str">
        <f t="shared" si="85"/>
        <v>No Disease</v>
      </c>
      <c r="Q933" t="str">
        <f t="shared" si="86"/>
        <v>Typical Angina</v>
      </c>
      <c r="R933" t="str">
        <f t="shared" si="87"/>
        <v>Normal</v>
      </c>
      <c r="S933" t="str">
        <f t="shared" si="88"/>
        <v>No</v>
      </c>
      <c r="T933" t="str" cm="1">
        <f t="array" ref="T933">_xlfn.IFS(A932&lt;30,"18-29",A932&lt;40,"30-39",A932&lt;50,"40-49",A932&lt;60,"50-59",A932&gt;=60,"60+")</f>
        <v>60+</v>
      </c>
      <c r="U933" t="str">
        <f t="shared" si="89"/>
        <v>High (Stage 2)</v>
      </c>
    </row>
    <row r="934" spans="1:21">
      <c r="A934">
        <v>51</v>
      </c>
      <c r="B934">
        <v>0</v>
      </c>
      <c r="C934">
        <v>2</v>
      </c>
      <c r="D934">
        <v>140</v>
      </c>
      <c r="E934">
        <v>308</v>
      </c>
      <c r="F934">
        <v>0</v>
      </c>
      <c r="G934">
        <v>0</v>
      </c>
      <c r="H934">
        <v>142</v>
      </c>
      <c r="I934">
        <v>0</v>
      </c>
      <c r="J934">
        <v>1.5</v>
      </c>
      <c r="K934">
        <v>2</v>
      </c>
      <c r="L934">
        <v>1</v>
      </c>
      <c r="M934">
        <v>2</v>
      </c>
      <c r="N934">
        <v>1</v>
      </c>
      <c r="O934" t="str">
        <f t="shared" si="84"/>
        <v>Female</v>
      </c>
      <c r="P934" t="str">
        <f t="shared" si="85"/>
        <v>Heart Disease</v>
      </c>
      <c r="Q934" t="str">
        <f t="shared" si="86"/>
        <v>Non-Anginal Pain</v>
      </c>
      <c r="R934" t="str">
        <f t="shared" si="87"/>
        <v>Normal</v>
      </c>
      <c r="S934" t="str">
        <f t="shared" si="88"/>
        <v>No</v>
      </c>
      <c r="T934" t="str" cm="1">
        <f t="array" ref="T934">_xlfn.IFS(A933&lt;30,"18-29",A933&lt;40,"30-39",A933&lt;50,"40-49",A933&lt;60,"50-59",A933&gt;=60,"60+")</f>
        <v>40-49</v>
      </c>
      <c r="U934" t="str">
        <f t="shared" si="89"/>
        <v>High (Stage 2)</v>
      </c>
    </row>
    <row r="935" spans="1:21">
      <c r="A935">
        <v>38</v>
      </c>
      <c r="B935">
        <v>1</v>
      </c>
      <c r="C935">
        <v>3</v>
      </c>
      <c r="D935">
        <v>120</v>
      </c>
      <c r="E935">
        <v>231</v>
      </c>
      <c r="F935">
        <v>0</v>
      </c>
      <c r="G935">
        <v>1</v>
      </c>
      <c r="H935">
        <v>182</v>
      </c>
      <c r="I935">
        <v>1</v>
      </c>
      <c r="J935">
        <v>3.8</v>
      </c>
      <c r="K935">
        <v>1</v>
      </c>
      <c r="L935">
        <v>0</v>
      </c>
      <c r="M935">
        <v>3</v>
      </c>
      <c r="N935">
        <v>0</v>
      </c>
      <c r="O935" t="str">
        <f t="shared" si="84"/>
        <v>Male</v>
      </c>
      <c r="P935" t="str">
        <f t="shared" si="85"/>
        <v>No Disease</v>
      </c>
      <c r="Q935" t="str">
        <f t="shared" si="86"/>
        <v>Asymptomatic</v>
      </c>
      <c r="R935" t="str">
        <f t="shared" si="87"/>
        <v>Normal</v>
      </c>
      <c r="S935" t="str">
        <f t="shared" si="88"/>
        <v>Yes</v>
      </c>
      <c r="T935" t="str" cm="1">
        <f t="array" ref="T935">_xlfn.IFS(A934&lt;30,"18-29",A934&lt;40,"30-39",A934&lt;50,"40-49",A934&lt;60,"50-59",A934&gt;=60,"60+")</f>
        <v>50-59</v>
      </c>
      <c r="U935" t="str">
        <f t="shared" si="89"/>
        <v>Elevated</v>
      </c>
    </row>
    <row r="936" spans="1:21">
      <c r="A936">
        <v>42</v>
      </c>
      <c r="B936">
        <v>1</v>
      </c>
      <c r="C936">
        <v>2</v>
      </c>
      <c r="D936">
        <v>130</v>
      </c>
      <c r="E936">
        <v>180</v>
      </c>
      <c r="F936">
        <v>0</v>
      </c>
      <c r="G936">
        <v>1</v>
      </c>
      <c r="H936">
        <v>150</v>
      </c>
      <c r="I936">
        <v>0</v>
      </c>
      <c r="J936">
        <v>0</v>
      </c>
      <c r="K936">
        <v>2</v>
      </c>
      <c r="L936">
        <v>0</v>
      </c>
      <c r="M936">
        <v>2</v>
      </c>
      <c r="N936">
        <v>1</v>
      </c>
      <c r="O936" t="str">
        <f t="shared" si="84"/>
        <v>Male</v>
      </c>
      <c r="P936" t="str">
        <f t="shared" si="85"/>
        <v>Heart Disease</v>
      </c>
      <c r="Q936" t="str">
        <f t="shared" si="86"/>
        <v>Non-Anginal Pain</v>
      </c>
      <c r="R936" t="str">
        <f t="shared" si="87"/>
        <v>Normal</v>
      </c>
      <c r="S936" t="str">
        <f t="shared" si="88"/>
        <v>No</v>
      </c>
      <c r="T936" t="str" cm="1">
        <f t="array" ref="T936">_xlfn.IFS(A935&lt;30,"18-29",A935&lt;40,"30-39",A935&lt;50,"40-49",A935&lt;60,"50-59",A935&gt;=60,"60+")</f>
        <v>30-39</v>
      </c>
      <c r="U936" t="str">
        <f t="shared" si="89"/>
        <v>High (Stage 1)</v>
      </c>
    </row>
    <row r="937" spans="1:21">
      <c r="A937">
        <v>56</v>
      </c>
      <c r="B937">
        <v>1</v>
      </c>
      <c r="C937">
        <v>1</v>
      </c>
      <c r="D937">
        <v>120</v>
      </c>
      <c r="E937">
        <v>240</v>
      </c>
      <c r="F937">
        <v>0</v>
      </c>
      <c r="G937">
        <v>1</v>
      </c>
      <c r="H937">
        <v>169</v>
      </c>
      <c r="I937">
        <v>0</v>
      </c>
      <c r="J937">
        <v>0</v>
      </c>
      <c r="K937">
        <v>0</v>
      </c>
      <c r="L937">
        <v>0</v>
      </c>
      <c r="M937">
        <v>2</v>
      </c>
      <c r="N937">
        <v>1</v>
      </c>
      <c r="O937" t="str">
        <f t="shared" si="84"/>
        <v>Male</v>
      </c>
      <c r="P937" t="str">
        <f t="shared" si="85"/>
        <v>Heart Disease</v>
      </c>
      <c r="Q937" t="str">
        <f t="shared" si="86"/>
        <v>Atypical Angina</v>
      </c>
      <c r="R937" t="str">
        <f t="shared" si="87"/>
        <v>Normal</v>
      </c>
      <c r="S937" t="str">
        <f t="shared" si="88"/>
        <v>No</v>
      </c>
      <c r="T937" t="str" cm="1">
        <f t="array" ref="T937">_xlfn.IFS(A936&lt;30,"18-29",A936&lt;40,"30-39",A936&lt;50,"40-49",A936&lt;60,"50-59",A936&gt;=60,"60+")</f>
        <v>40-49</v>
      </c>
      <c r="U937" t="str">
        <f t="shared" si="89"/>
        <v>Elevated</v>
      </c>
    </row>
    <row r="938" spans="1:21">
      <c r="A938">
        <v>43</v>
      </c>
      <c r="B938">
        <v>1</v>
      </c>
      <c r="C938">
        <v>2</v>
      </c>
      <c r="D938">
        <v>130</v>
      </c>
      <c r="E938">
        <v>315</v>
      </c>
      <c r="F938">
        <v>0</v>
      </c>
      <c r="G938">
        <v>1</v>
      </c>
      <c r="H938">
        <v>162</v>
      </c>
      <c r="I938">
        <v>0</v>
      </c>
      <c r="J938">
        <v>1.9</v>
      </c>
      <c r="K938">
        <v>2</v>
      </c>
      <c r="L938">
        <v>1</v>
      </c>
      <c r="M938">
        <v>2</v>
      </c>
      <c r="N938">
        <v>1</v>
      </c>
      <c r="O938" t="str">
        <f t="shared" si="84"/>
        <v>Male</v>
      </c>
      <c r="P938" t="str">
        <f t="shared" si="85"/>
        <v>Heart Disease</v>
      </c>
      <c r="Q938" t="str">
        <f t="shared" si="86"/>
        <v>Non-Anginal Pain</v>
      </c>
      <c r="R938" t="str">
        <f t="shared" si="87"/>
        <v>Normal</v>
      </c>
      <c r="S938" t="str">
        <f t="shared" si="88"/>
        <v>No</v>
      </c>
      <c r="T938" t="str" cm="1">
        <f t="array" ref="T938">_xlfn.IFS(A937&lt;30,"18-29",A937&lt;40,"30-39",A937&lt;50,"40-49",A937&lt;60,"50-59",A937&gt;=60,"60+")</f>
        <v>50-59</v>
      </c>
      <c r="U938" t="str">
        <f t="shared" si="89"/>
        <v>High (Stage 1)</v>
      </c>
    </row>
    <row r="939" spans="1:21">
      <c r="A939">
        <v>64</v>
      </c>
      <c r="B939">
        <v>1</v>
      </c>
      <c r="C939">
        <v>2</v>
      </c>
      <c r="D939">
        <v>140</v>
      </c>
      <c r="E939">
        <v>335</v>
      </c>
      <c r="F939">
        <v>0</v>
      </c>
      <c r="G939">
        <v>1</v>
      </c>
      <c r="H939">
        <v>158</v>
      </c>
      <c r="I939">
        <v>0</v>
      </c>
      <c r="J939">
        <v>0</v>
      </c>
      <c r="K939">
        <v>2</v>
      </c>
      <c r="L939">
        <v>0</v>
      </c>
      <c r="M939">
        <v>2</v>
      </c>
      <c r="N939">
        <v>0</v>
      </c>
      <c r="O939" t="str">
        <f t="shared" si="84"/>
        <v>Male</v>
      </c>
      <c r="P939" t="str">
        <f t="shared" si="85"/>
        <v>No Disease</v>
      </c>
      <c r="Q939" t="str">
        <f t="shared" si="86"/>
        <v>Non-Anginal Pain</v>
      </c>
      <c r="R939" t="str">
        <f t="shared" si="87"/>
        <v>Normal</v>
      </c>
      <c r="S939" t="str">
        <f t="shared" si="88"/>
        <v>No</v>
      </c>
      <c r="T939" t="str" cm="1">
        <f t="array" ref="T939">_xlfn.IFS(A938&lt;30,"18-29",A938&lt;40,"30-39",A938&lt;50,"40-49",A938&lt;60,"50-59",A938&gt;=60,"60+")</f>
        <v>40-49</v>
      </c>
      <c r="U939" t="str">
        <f t="shared" si="89"/>
        <v>High (Stage 2)</v>
      </c>
    </row>
    <row r="940" spans="1:21">
      <c r="A940">
        <v>53</v>
      </c>
      <c r="B940">
        <v>1</v>
      </c>
      <c r="C940">
        <v>0</v>
      </c>
      <c r="D940">
        <v>142</v>
      </c>
      <c r="E940">
        <v>226</v>
      </c>
      <c r="F940">
        <v>0</v>
      </c>
      <c r="G940">
        <v>0</v>
      </c>
      <c r="H940">
        <v>111</v>
      </c>
      <c r="I940">
        <v>1</v>
      </c>
      <c r="J940">
        <v>0</v>
      </c>
      <c r="K940">
        <v>2</v>
      </c>
      <c r="L940">
        <v>0</v>
      </c>
      <c r="M940">
        <v>3</v>
      </c>
      <c r="N940">
        <v>1</v>
      </c>
      <c r="O940" t="str">
        <f t="shared" si="84"/>
        <v>Male</v>
      </c>
      <c r="P940" t="str">
        <f t="shared" si="85"/>
        <v>Heart Disease</v>
      </c>
      <c r="Q940" t="str">
        <f t="shared" si="86"/>
        <v>Typical Angina</v>
      </c>
      <c r="R940" t="str">
        <f t="shared" si="87"/>
        <v>Normal</v>
      </c>
      <c r="S940" t="str">
        <f t="shared" si="88"/>
        <v>Yes</v>
      </c>
      <c r="T940" t="str" cm="1">
        <f t="array" ref="T940">_xlfn.IFS(A939&lt;30,"18-29",A939&lt;40,"30-39",A939&lt;50,"40-49",A939&lt;60,"50-59",A939&gt;=60,"60+")</f>
        <v>60+</v>
      </c>
      <c r="U940" t="str">
        <f t="shared" si="89"/>
        <v>High (Stage 2)</v>
      </c>
    </row>
    <row r="941" spans="1:21">
      <c r="A941">
        <v>49</v>
      </c>
      <c r="B941">
        <v>0</v>
      </c>
      <c r="C941">
        <v>1</v>
      </c>
      <c r="D941">
        <v>134</v>
      </c>
      <c r="E941">
        <v>271</v>
      </c>
      <c r="F941">
        <v>0</v>
      </c>
      <c r="G941">
        <v>1</v>
      </c>
      <c r="H941">
        <v>162</v>
      </c>
      <c r="I941">
        <v>0</v>
      </c>
      <c r="J941">
        <v>0</v>
      </c>
      <c r="K941">
        <v>1</v>
      </c>
      <c r="L941">
        <v>0</v>
      </c>
      <c r="M941">
        <v>2</v>
      </c>
      <c r="N941">
        <v>1</v>
      </c>
      <c r="O941" t="str">
        <f t="shared" si="84"/>
        <v>Female</v>
      </c>
      <c r="P941" t="str">
        <f t="shared" si="85"/>
        <v>Heart Disease</v>
      </c>
      <c r="Q941" t="str">
        <f t="shared" si="86"/>
        <v>Atypical Angina</v>
      </c>
      <c r="R941" t="str">
        <f t="shared" si="87"/>
        <v>Normal</v>
      </c>
      <c r="S941" t="str">
        <f t="shared" si="88"/>
        <v>No</v>
      </c>
      <c r="T941" t="str" cm="1">
        <f t="array" ref="T941">_xlfn.IFS(A940&lt;30,"18-29",A940&lt;40,"30-39",A940&lt;50,"40-49",A940&lt;60,"50-59",A940&gt;=60,"60+")</f>
        <v>50-59</v>
      </c>
      <c r="U941" t="str">
        <f t="shared" si="89"/>
        <v>High (Stage 1)</v>
      </c>
    </row>
    <row r="942" spans="1:21">
      <c r="A942">
        <v>57</v>
      </c>
      <c r="B942">
        <v>0</v>
      </c>
      <c r="C942">
        <v>0</v>
      </c>
      <c r="D942">
        <v>140</v>
      </c>
      <c r="E942">
        <v>241</v>
      </c>
      <c r="F942">
        <v>0</v>
      </c>
      <c r="G942">
        <v>1</v>
      </c>
      <c r="H942">
        <v>123</v>
      </c>
      <c r="I942">
        <v>1</v>
      </c>
      <c r="J942">
        <v>0.2</v>
      </c>
      <c r="K942">
        <v>1</v>
      </c>
      <c r="L942">
        <v>0</v>
      </c>
      <c r="M942">
        <v>3</v>
      </c>
      <c r="N942">
        <v>0</v>
      </c>
      <c r="O942" t="str">
        <f t="shared" si="84"/>
        <v>Female</v>
      </c>
      <c r="P942" t="str">
        <f t="shared" si="85"/>
        <v>No Disease</v>
      </c>
      <c r="Q942" t="str">
        <f t="shared" si="86"/>
        <v>Typical Angina</v>
      </c>
      <c r="R942" t="str">
        <f t="shared" si="87"/>
        <v>Normal</v>
      </c>
      <c r="S942" t="str">
        <f t="shared" si="88"/>
        <v>Yes</v>
      </c>
      <c r="T942" t="str" cm="1">
        <f t="array" ref="T942">_xlfn.IFS(A941&lt;30,"18-29",A941&lt;40,"30-39",A941&lt;50,"40-49",A941&lt;60,"50-59",A941&gt;=60,"60+")</f>
        <v>40-49</v>
      </c>
      <c r="U942" t="str">
        <f t="shared" si="89"/>
        <v>High (Stage 2)</v>
      </c>
    </row>
    <row r="943" spans="1:21">
      <c r="A943">
        <v>52</v>
      </c>
      <c r="B943">
        <v>0</v>
      </c>
      <c r="C943">
        <v>2</v>
      </c>
      <c r="D943">
        <v>136</v>
      </c>
      <c r="E943">
        <v>196</v>
      </c>
      <c r="F943">
        <v>0</v>
      </c>
      <c r="G943">
        <v>0</v>
      </c>
      <c r="H943">
        <v>169</v>
      </c>
      <c r="I943">
        <v>0</v>
      </c>
      <c r="J943">
        <v>0.1</v>
      </c>
      <c r="K943">
        <v>1</v>
      </c>
      <c r="L943">
        <v>0</v>
      </c>
      <c r="M943">
        <v>2</v>
      </c>
      <c r="N943">
        <v>1</v>
      </c>
      <c r="O943" t="str">
        <f t="shared" si="84"/>
        <v>Female</v>
      </c>
      <c r="P943" t="str">
        <f t="shared" si="85"/>
        <v>Heart Disease</v>
      </c>
      <c r="Q943" t="str">
        <f t="shared" si="86"/>
        <v>Non-Anginal Pain</v>
      </c>
      <c r="R943" t="str">
        <f t="shared" si="87"/>
        <v>Normal</v>
      </c>
      <c r="S943" t="str">
        <f t="shared" si="88"/>
        <v>No</v>
      </c>
      <c r="T943" t="str" cm="1">
        <f t="array" ref="T943">_xlfn.IFS(A942&lt;30,"18-29",A942&lt;40,"30-39",A942&lt;50,"40-49",A942&lt;60,"50-59",A942&gt;=60,"60+")</f>
        <v>50-59</v>
      </c>
      <c r="U943" t="str">
        <f t="shared" si="89"/>
        <v>High (Stage 1)</v>
      </c>
    </row>
    <row r="944" spans="1:21">
      <c r="A944">
        <v>69</v>
      </c>
      <c r="B944">
        <v>0</v>
      </c>
      <c r="C944">
        <v>3</v>
      </c>
      <c r="D944">
        <v>140</v>
      </c>
      <c r="E944">
        <v>239</v>
      </c>
      <c r="F944">
        <v>0</v>
      </c>
      <c r="G944">
        <v>1</v>
      </c>
      <c r="H944">
        <v>151</v>
      </c>
      <c r="I944">
        <v>0</v>
      </c>
      <c r="J944">
        <v>1.8</v>
      </c>
      <c r="K944">
        <v>2</v>
      </c>
      <c r="L944">
        <v>2</v>
      </c>
      <c r="M944">
        <v>2</v>
      </c>
      <c r="N944">
        <v>1</v>
      </c>
      <c r="O944" t="str">
        <f t="shared" si="84"/>
        <v>Female</v>
      </c>
      <c r="P944" t="str">
        <f t="shared" si="85"/>
        <v>Heart Disease</v>
      </c>
      <c r="Q944" t="str">
        <f t="shared" si="86"/>
        <v>Asymptomatic</v>
      </c>
      <c r="R944" t="str">
        <f t="shared" si="87"/>
        <v>Normal</v>
      </c>
      <c r="S944" t="str">
        <f t="shared" si="88"/>
        <v>No</v>
      </c>
      <c r="T944" t="str" cm="1">
        <f t="array" ref="T944">_xlfn.IFS(A943&lt;30,"18-29",A943&lt;40,"30-39",A943&lt;50,"40-49",A943&lt;60,"50-59",A943&gt;=60,"60+")</f>
        <v>50-59</v>
      </c>
      <c r="U944" t="str">
        <f t="shared" si="89"/>
        <v>High (Stage 2)</v>
      </c>
    </row>
    <row r="945" spans="1:21">
      <c r="A945">
        <v>65</v>
      </c>
      <c r="B945">
        <v>1</v>
      </c>
      <c r="C945">
        <v>0</v>
      </c>
      <c r="D945">
        <v>120</v>
      </c>
      <c r="E945">
        <v>177</v>
      </c>
      <c r="F945">
        <v>0</v>
      </c>
      <c r="G945">
        <v>1</v>
      </c>
      <c r="H945">
        <v>140</v>
      </c>
      <c r="I945">
        <v>0</v>
      </c>
      <c r="J945">
        <v>0.4</v>
      </c>
      <c r="K945">
        <v>2</v>
      </c>
      <c r="L945">
        <v>0</v>
      </c>
      <c r="M945">
        <v>3</v>
      </c>
      <c r="N945">
        <v>1</v>
      </c>
      <c r="O945" t="str">
        <f t="shared" si="84"/>
        <v>Male</v>
      </c>
      <c r="P945" t="str">
        <f t="shared" si="85"/>
        <v>Heart Disease</v>
      </c>
      <c r="Q945" t="str">
        <f t="shared" si="86"/>
        <v>Typical Angina</v>
      </c>
      <c r="R945" t="str">
        <f t="shared" si="87"/>
        <v>Normal</v>
      </c>
      <c r="S945" t="str">
        <f t="shared" si="88"/>
        <v>No</v>
      </c>
      <c r="T945" t="str" cm="1">
        <f t="array" ref="T945">_xlfn.IFS(A944&lt;30,"18-29",A944&lt;40,"30-39",A944&lt;50,"40-49",A944&lt;60,"50-59",A944&gt;=60,"60+")</f>
        <v>60+</v>
      </c>
      <c r="U945" t="str">
        <f t="shared" si="89"/>
        <v>Elevated</v>
      </c>
    </row>
    <row r="946" spans="1:21">
      <c r="A946">
        <v>66</v>
      </c>
      <c r="B946">
        <v>0</v>
      </c>
      <c r="C946">
        <v>0</v>
      </c>
      <c r="D946">
        <v>178</v>
      </c>
      <c r="E946">
        <v>228</v>
      </c>
      <c r="F946">
        <v>1</v>
      </c>
      <c r="G946">
        <v>1</v>
      </c>
      <c r="H946">
        <v>165</v>
      </c>
      <c r="I946">
        <v>1</v>
      </c>
      <c r="J946">
        <v>1</v>
      </c>
      <c r="K946">
        <v>1</v>
      </c>
      <c r="L946">
        <v>2</v>
      </c>
      <c r="M946">
        <v>3</v>
      </c>
      <c r="N946">
        <v>0</v>
      </c>
      <c r="O946" t="str">
        <f t="shared" si="84"/>
        <v>Female</v>
      </c>
      <c r="P946" t="str">
        <f t="shared" si="85"/>
        <v>No Disease</v>
      </c>
      <c r="Q946" t="str">
        <f t="shared" si="86"/>
        <v>Typical Angina</v>
      </c>
      <c r="R946" t="str">
        <f t="shared" si="87"/>
        <v>High</v>
      </c>
      <c r="S946" t="str">
        <f t="shared" si="88"/>
        <v>Yes</v>
      </c>
      <c r="T946" t="str" cm="1">
        <f t="array" ref="T946">_xlfn.IFS(A945&lt;30,"18-29",A945&lt;40,"30-39",A945&lt;50,"40-49",A945&lt;60,"50-59",A945&gt;=60,"60+")</f>
        <v>60+</v>
      </c>
      <c r="U946" t="str">
        <f t="shared" si="89"/>
        <v>High (Stage 2)</v>
      </c>
    </row>
    <row r="947" spans="1:21">
      <c r="A947">
        <v>56</v>
      </c>
      <c r="B947">
        <v>1</v>
      </c>
      <c r="C947">
        <v>3</v>
      </c>
      <c r="D947">
        <v>120</v>
      </c>
      <c r="E947">
        <v>193</v>
      </c>
      <c r="F947">
        <v>0</v>
      </c>
      <c r="G947">
        <v>0</v>
      </c>
      <c r="H947">
        <v>162</v>
      </c>
      <c r="I947">
        <v>0</v>
      </c>
      <c r="J947">
        <v>1.9</v>
      </c>
      <c r="K947">
        <v>1</v>
      </c>
      <c r="L947">
        <v>0</v>
      </c>
      <c r="M947">
        <v>3</v>
      </c>
      <c r="N947">
        <v>1</v>
      </c>
      <c r="O947" t="str">
        <f t="shared" si="84"/>
        <v>Male</v>
      </c>
      <c r="P947" t="str">
        <f t="shared" si="85"/>
        <v>Heart Disease</v>
      </c>
      <c r="Q947" t="str">
        <f t="shared" si="86"/>
        <v>Asymptomatic</v>
      </c>
      <c r="R947" t="str">
        <f t="shared" si="87"/>
        <v>Normal</v>
      </c>
      <c r="S947" t="str">
        <f t="shared" si="88"/>
        <v>No</v>
      </c>
      <c r="T947" t="str" cm="1">
        <f t="array" ref="T947">_xlfn.IFS(A946&lt;30,"18-29",A946&lt;40,"30-39",A946&lt;50,"40-49",A946&lt;60,"50-59",A946&gt;=60,"60+")</f>
        <v>60+</v>
      </c>
      <c r="U947" t="str">
        <f t="shared" si="89"/>
        <v>Elevated</v>
      </c>
    </row>
    <row r="948" spans="1:21">
      <c r="A948">
        <v>67</v>
      </c>
      <c r="B948">
        <v>0</v>
      </c>
      <c r="C948">
        <v>2</v>
      </c>
      <c r="D948">
        <v>152</v>
      </c>
      <c r="E948">
        <v>277</v>
      </c>
      <c r="F948">
        <v>0</v>
      </c>
      <c r="G948">
        <v>1</v>
      </c>
      <c r="H948">
        <v>172</v>
      </c>
      <c r="I948">
        <v>0</v>
      </c>
      <c r="J948">
        <v>0</v>
      </c>
      <c r="K948">
        <v>2</v>
      </c>
      <c r="L948">
        <v>1</v>
      </c>
      <c r="M948">
        <v>2</v>
      </c>
      <c r="N948">
        <v>1</v>
      </c>
      <c r="O948" t="str">
        <f t="shared" si="84"/>
        <v>Female</v>
      </c>
      <c r="P948" t="str">
        <f t="shared" si="85"/>
        <v>Heart Disease</v>
      </c>
      <c r="Q948" t="str">
        <f t="shared" si="86"/>
        <v>Non-Anginal Pain</v>
      </c>
      <c r="R948" t="str">
        <f t="shared" si="87"/>
        <v>Normal</v>
      </c>
      <c r="S948" t="str">
        <f t="shared" si="88"/>
        <v>No</v>
      </c>
      <c r="T948" t="str" cm="1">
        <f t="array" ref="T948">_xlfn.IFS(A947&lt;30,"18-29",A947&lt;40,"30-39",A947&lt;50,"40-49",A947&lt;60,"50-59",A947&gt;=60,"60+")</f>
        <v>50-59</v>
      </c>
      <c r="U948" t="str">
        <f t="shared" si="89"/>
        <v>High (Stage 2)</v>
      </c>
    </row>
    <row r="949" spans="1:21">
      <c r="A949">
        <v>54</v>
      </c>
      <c r="B949">
        <v>0</v>
      </c>
      <c r="C949">
        <v>2</v>
      </c>
      <c r="D949">
        <v>160</v>
      </c>
      <c r="E949">
        <v>201</v>
      </c>
      <c r="F949">
        <v>0</v>
      </c>
      <c r="G949">
        <v>1</v>
      </c>
      <c r="H949">
        <v>163</v>
      </c>
      <c r="I949">
        <v>0</v>
      </c>
      <c r="J949">
        <v>0</v>
      </c>
      <c r="K949">
        <v>2</v>
      </c>
      <c r="L949">
        <v>1</v>
      </c>
      <c r="M949">
        <v>2</v>
      </c>
      <c r="N949">
        <v>1</v>
      </c>
      <c r="O949" t="str">
        <f t="shared" si="84"/>
        <v>Female</v>
      </c>
      <c r="P949" t="str">
        <f t="shared" si="85"/>
        <v>Heart Disease</v>
      </c>
      <c r="Q949" t="str">
        <f t="shared" si="86"/>
        <v>Non-Anginal Pain</v>
      </c>
      <c r="R949" t="str">
        <f t="shared" si="87"/>
        <v>Normal</v>
      </c>
      <c r="S949" t="str">
        <f t="shared" si="88"/>
        <v>No</v>
      </c>
      <c r="T949" t="str" cm="1">
        <f t="array" ref="T949">_xlfn.IFS(A948&lt;30,"18-29",A948&lt;40,"30-39",A948&lt;50,"40-49",A948&lt;60,"50-59",A948&gt;=60,"60+")</f>
        <v>60+</v>
      </c>
      <c r="U949" t="str">
        <f t="shared" si="89"/>
        <v>High (Stage 2)</v>
      </c>
    </row>
    <row r="950" spans="1:21">
      <c r="A950">
        <v>70</v>
      </c>
      <c r="B950">
        <v>1</v>
      </c>
      <c r="C950">
        <v>0</v>
      </c>
      <c r="D950">
        <v>145</v>
      </c>
      <c r="E950">
        <v>174</v>
      </c>
      <c r="F950">
        <v>0</v>
      </c>
      <c r="G950">
        <v>1</v>
      </c>
      <c r="H950">
        <v>125</v>
      </c>
      <c r="I950">
        <v>1</v>
      </c>
      <c r="J950">
        <v>2.6</v>
      </c>
      <c r="K950">
        <v>0</v>
      </c>
      <c r="L950">
        <v>0</v>
      </c>
      <c r="M950">
        <v>3</v>
      </c>
      <c r="N950">
        <v>0</v>
      </c>
      <c r="O950" t="str">
        <f t="shared" si="84"/>
        <v>Male</v>
      </c>
      <c r="P950" t="str">
        <f t="shared" si="85"/>
        <v>No Disease</v>
      </c>
      <c r="Q950" t="str">
        <f t="shared" si="86"/>
        <v>Typical Angina</v>
      </c>
      <c r="R950" t="str">
        <f t="shared" si="87"/>
        <v>Normal</v>
      </c>
      <c r="S950" t="str">
        <f t="shared" si="88"/>
        <v>Yes</v>
      </c>
      <c r="T950" t="str" cm="1">
        <f t="array" ref="T950">_xlfn.IFS(A949&lt;30,"18-29",A949&lt;40,"30-39",A949&lt;50,"40-49",A949&lt;60,"50-59",A949&gt;=60,"60+")</f>
        <v>50-59</v>
      </c>
      <c r="U950" t="str">
        <f t="shared" si="89"/>
        <v>High (Stage 2)</v>
      </c>
    </row>
    <row r="951" spans="1:21">
      <c r="A951">
        <v>57</v>
      </c>
      <c r="B951">
        <v>1</v>
      </c>
      <c r="C951">
        <v>0</v>
      </c>
      <c r="D951">
        <v>132</v>
      </c>
      <c r="E951">
        <v>207</v>
      </c>
      <c r="F951">
        <v>0</v>
      </c>
      <c r="G951">
        <v>1</v>
      </c>
      <c r="H951">
        <v>168</v>
      </c>
      <c r="I951">
        <v>1</v>
      </c>
      <c r="J951">
        <v>0</v>
      </c>
      <c r="K951">
        <v>2</v>
      </c>
      <c r="L951">
        <v>0</v>
      </c>
      <c r="M951">
        <v>3</v>
      </c>
      <c r="N951">
        <v>1</v>
      </c>
      <c r="O951" t="str">
        <f t="shared" si="84"/>
        <v>Male</v>
      </c>
      <c r="P951" t="str">
        <f t="shared" si="85"/>
        <v>Heart Disease</v>
      </c>
      <c r="Q951" t="str">
        <f t="shared" si="86"/>
        <v>Typical Angina</v>
      </c>
      <c r="R951" t="str">
        <f t="shared" si="87"/>
        <v>Normal</v>
      </c>
      <c r="S951" t="str">
        <f t="shared" si="88"/>
        <v>Yes</v>
      </c>
      <c r="T951" t="str" cm="1">
        <f t="array" ref="T951">_xlfn.IFS(A950&lt;30,"18-29",A950&lt;40,"30-39",A950&lt;50,"40-49",A950&lt;60,"50-59",A950&gt;=60,"60+")</f>
        <v>60+</v>
      </c>
      <c r="U951" t="str">
        <f t="shared" si="89"/>
        <v>High (Stage 1)</v>
      </c>
    </row>
    <row r="952" spans="1:21">
      <c r="A952">
        <v>67</v>
      </c>
      <c r="B952">
        <v>1</v>
      </c>
      <c r="C952">
        <v>0</v>
      </c>
      <c r="D952">
        <v>160</v>
      </c>
      <c r="E952">
        <v>286</v>
      </c>
      <c r="F952">
        <v>0</v>
      </c>
      <c r="G952">
        <v>0</v>
      </c>
      <c r="H952">
        <v>108</v>
      </c>
      <c r="I952">
        <v>1</v>
      </c>
      <c r="J952">
        <v>1.5</v>
      </c>
      <c r="K952">
        <v>1</v>
      </c>
      <c r="L952">
        <v>3</v>
      </c>
      <c r="M952">
        <v>2</v>
      </c>
      <c r="N952">
        <v>0</v>
      </c>
      <c r="O952" t="str">
        <f t="shared" si="84"/>
        <v>Male</v>
      </c>
      <c r="P952" t="str">
        <f t="shared" si="85"/>
        <v>No Disease</v>
      </c>
      <c r="Q952" t="str">
        <f t="shared" si="86"/>
        <v>Typical Angina</v>
      </c>
      <c r="R952" t="str">
        <f t="shared" si="87"/>
        <v>Normal</v>
      </c>
      <c r="S952" t="str">
        <f t="shared" si="88"/>
        <v>Yes</v>
      </c>
      <c r="T952" t="str" cm="1">
        <f t="array" ref="T952">_xlfn.IFS(A951&lt;30,"18-29",A951&lt;40,"30-39",A951&lt;50,"40-49",A951&lt;60,"50-59",A951&gt;=60,"60+")</f>
        <v>50-59</v>
      </c>
      <c r="U952" t="str">
        <f t="shared" si="89"/>
        <v>High (Stage 2)</v>
      </c>
    </row>
    <row r="953" spans="1:21">
      <c r="A953">
        <v>62</v>
      </c>
      <c r="B953">
        <v>0</v>
      </c>
      <c r="C953">
        <v>2</v>
      </c>
      <c r="D953">
        <v>130</v>
      </c>
      <c r="E953">
        <v>263</v>
      </c>
      <c r="F953">
        <v>0</v>
      </c>
      <c r="G953">
        <v>1</v>
      </c>
      <c r="H953">
        <v>97</v>
      </c>
      <c r="I953">
        <v>0</v>
      </c>
      <c r="J953">
        <v>1.2</v>
      </c>
      <c r="K953">
        <v>1</v>
      </c>
      <c r="L953">
        <v>1</v>
      </c>
      <c r="M953">
        <v>3</v>
      </c>
      <c r="N953">
        <v>0</v>
      </c>
      <c r="O953" t="str">
        <f t="shared" si="84"/>
        <v>Female</v>
      </c>
      <c r="P953" t="str">
        <f t="shared" si="85"/>
        <v>No Disease</v>
      </c>
      <c r="Q953" t="str">
        <f t="shared" si="86"/>
        <v>Non-Anginal Pain</v>
      </c>
      <c r="R953" t="str">
        <f t="shared" si="87"/>
        <v>Normal</v>
      </c>
      <c r="S953" t="str">
        <f t="shared" si="88"/>
        <v>No</v>
      </c>
      <c r="T953" t="str" cm="1">
        <f t="array" ref="T953">_xlfn.IFS(A952&lt;30,"18-29",A952&lt;40,"30-39",A952&lt;50,"40-49",A952&lt;60,"50-59",A952&gt;=60,"60+")</f>
        <v>60+</v>
      </c>
      <c r="U953" t="str">
        <f t="shared" si="89"/>
        <v>High (Stage 1)</v>
      </c>
    </row>
    <row r="954" spans="1:21">
      <c r="A954">
        <v>54</v>
      </c>
      <c r="B954">
        <v>0</v>
      </c>
      <c r="C954">
        <v>2</v>
      </c>
      <c r="D954">
        <v>135</v>
      </c>
      <c r="E954">
        <v>304</v>
      </c>
      <c r="F954">
        <v>1</v>
      </c>
      <c r="G954">
        <v>1</v>
      </c>
      <c r="H954">
        <v>170</v>
      </c>
      <c r="I954">
        <v>0</v>
      </c>
      <c r="J954">
        <v>0</v>
      </c>
      <c r="K954">
        <v>2</v>
      </c>
      <c r="L954">
        <v>0</v>
      </c>
      <c r="M954">
        <v>2</v>
      </c>
      <c r="N954">
        <v>1</v>
      </c>
      <c r="O954" t="str">
        <f t="shared" si="84"/>
        <v>Female</v>
      </c>
      <c r="P954" t="str">
        <f t="shared" si="85"/>
        <v>Heart Disease</v>
      </c>
      <c r="Q954" t="str">
        <f t="shared" si="86"/>
        <v>Non-Anginal Pain</v>
      </c>
      <c r="R954" t="str">
        <f t="shared" si="87"/>
        <v>High</v>
      </c>
      <c r="S954" t="str">
        <f t="shared" si="88"/>
        <v>No</v>
      </c>
      <c r="T954" t="str" cm="1">
        <f t="array" ref="T954">_xlfn.IFS(A953&lt;30,"18-29",A953&lt;40,"30-39",A953&lt;50,"40-49",A953&lt;60,"50-59",A953&gt;=60,"60+")</f>
        <v>60+</v>
      </c>
      <c r="U954" t="str">
        <f t="shared" si="89"/>
        <v>High (Stage 1)</v>
      </c>
    </row>
    <row r="955" spans="1:21">
      <c r="A955">
        <v>45</v>
      </c>
      <c r="B955">
        <v>0</v>
      </c>
      <c r="C955">
        <v>0</v>
      </c>
      <c r="D955">
        <v>138</v>
      </c>
      <c r="E955">
        <v>236</v>
      </c>
      <c r="F955">
        <v>0</v>
      </c>
      <c r="G955">
        <v>0</v>
      </c>
      <c r="H955">
        <v>152</v>
      </c>
      <c r="I955">
        <v>1</v>
      </c>
      <c r="J955">
        <v>0.2</v>
      </c>
      <c r="K955">
        <v>1</v>
      </c>
      <c r="L955">
        <v>0</v>
      </c>
      <c r="M955">
        <v>2</v>
      </c>
      <c r="N955">
        <v>1</v>
      </c>
      <c r="O955" t="str">
        <f t="shared" si="84"/>
        <v>Female</v>
      </c>
      <c r="P955" t="str">
        <f t="shared" si="85"/>
        <v>Heart Disease</v>
      </c>
      <c r="Q955" t="str">
        <f t="shared" si="86"/>
        <v>Typical Angina</v>
      </c>
      <c r="R955" t="str">
        <f t="shared" si="87"/>
        <v>Normal</v>
      </c>
      <c r="S955" t="str">
        <f t="shared" si="88"/>
        <v>Yes</v>
      </c>
      <c r="T955" t="str" cm="1">
        <f t="array" ref="T955">_xlfn.IFS(A954&lt;30,"18-29",A954&lt;40,"30-39",A954&lt;50,"40-49",A954&lt;60,"50-59",A954&gt;=60,"60+")</f>
        <v>50-59</v>
      </c>
      <c r="U955" t="str">
        <f t="shared" si="89"/>
        <v>High (Stage 1)</v>
      </c>
    </row>
    <row r="956" spans="1:21">
      <c r="A956">
        <v>53</v>
      </c>
      <c r="B956">
        <v>0</v>
      </c>
      <c r="C956">
        <v>0</v>
      </c>
      <c r="D956">
        <v>130</v>
      </c>
      <c r="E956">
        <v>264</v>
      </c>
      <c r="F956">
        <v>0</v>
      </c>
      <c r="G956">
        <v>0</v>
      </c>
      <c r="H956">
        <v>143</v>
      </c>
      <c r="I956">
        <v>0</v>
      </c>
      <c r="J956">
        <v>0.4</v>
      </c>
      <c r="K956">
        <v>1</v>
      </c>
      <c r="L956">
        <v>0</v>
      </c>
      <c r="M956">
        <v>2</v>
      </c>
      <c r="N956">
        <v>1</v>
      </c>
      <c r="O956" t="str">
        <f t="shared" si="84"/>
        <v>Female</v>
      </c>
      <c r="P956" t="str">
        <f t="shared" si="85"/>
        <v>Heart Disease</v>
      </c>
      <c r="Q956" t="str">
        <f t="shared" si="86"/>
        <v>Typical Angina</v>
      </c>
      <c r="R956" t="str">
        <f t="shared" si="87"/>
        <v>Normal</v>
      </c>
      <c r="S956" t="str">
        <f t="shared" si="88"/>
        <v>No</v>
      </c>
      <c r="T956" t="str" cm="1">
        <f t="array" ref="T956">_xlfn.IFS(A955&lt;30,"18-29",A955&lt;40,"30-39",A955&lt;50,"40-49",A955&lt;60,"50-59",A955&gt;=60,"60+")</f>
        <v>40-49</v>
      </c>
      <c r="U956" t="str">
        <f t="shared" si="89"/>
        <v>High (Stage 1)</v>
      </c>
    </row>
    <row r="957" spans="1:21">
      <c r="A957">
        <v>62</v>
      </c>
      <c r="B957">
        <v>1</v>
      </c>
      <c r="C957">
        <v>2</v>
      </c>
      <c r="D957">
        <v>130</v>
      </c>
      <c r="E957">
        <v>231</v>
      </c>
      <c r="F957">
        <v>0</v>
      </c>
      <c r="G957">
        <v>1</v>
      </c>
      <c r="H957">
        <v>146</v>
      </c>
      <c r="I957">
        <v>0</v>
      </c>
      <c r="J957">
        <v>1.8</v>
      </c>
      <c r="K957">
        <v>1</v>
      </c>
      <c r="L957">
        <v>3</v>
      </c>
      <c r="M957">
        <v>3</v>
      </c>
      <c r="N957">
        <v>1</v>
      </c>
      <c r="O957" t="str">
        <f t="shared" si="84"/>
        <v>Male</v>
      </c>
      <c r="P957" t="str">
        <f t="shared" si="85"/>
        <v>Heart Disease</v>
      </c>
      <c r="Q957" t="str">
        <f t="shared" si="86"/>
        <v>Non-Anginal Pain</v>
      </c>
      <c r="R957" t="str">
        <f t="shared" si="87"/>
        <v>Normal</v>
      </c>
      <c r="S957" t="str">
        <f t="shared" si="88"/>
        <v>No</v>
      </c>
      <c r="T957" t="str" cm="1">
        <f t="array" ref="T957">_xlfn.IFS(A956&lt;30,"18-29",A956&lt;40,"30-39",A956&lt;50,"40-49",A956&lt;60,"50-59",A956&gt;=60,"60+")</f>
        <v>50-59</v>
      </c>
      <c r="U957" t="str">
        <f t="shared" si="89"/>
        <v>High (Stage 1)</v>
      </c>
    </row>
    <row r="958" spans="1:21">
      <c r="A958">
        <v>49</v>
      </c>
      <c r="B958">
        <v>0</v>
      </c>
      <c r="C958">
        <v>0</v>
      </c>
      <c r="D958">
        <v>130</v>
      </c>
      <c r="E958">
        <v>269</v>
      </c>
      <c r="F958">
        <v>0</v>
      </c>
      <c r="G958">
        <v>1</v>
      </c>
      <c r="H958">
        <v>163</v>
      </c>
      <c r="I958">
        <v>0</v>
      </c>
      <c r="J958">
        <v>0</v>
      </c>
      <c r="K958">
        <v>2</v>
      </c>
      <c r="L958">
        <v>0</v>
      </c>
      <c r="M958">
        <v>2</v>
      </c>
      <c r="N958">
        <v>1</v>
      </c>
      <c r="O958" t="str">
        <f t="shared" si="84"/>
        <v>Female</v>
      </c>
      <c r="P958" t="str">
        <f t="shared" si="85"/>
        <v>Heart Disease</v>
      </c>
      <c r="Q958" t="str">
        <f t="shared" si="86"/>
        <v>Typical Angina</v>
      </c>
      <c r="R958" t="str">
        <f t="shared" si="87"/>
        <v>Normal</v>
      </c>
      <c r="S958" t="str">
        <f t="shared" si="88"/>
        <v>No</v>
      </c>
      <c r="T958" t="str" cm="1">
        <f t="array" ref="T958">_xlfn.IFS(A957&lt;30,"18-29",A957&lt;40,"30-39",A957&lt;50,"40-49",A957&lt;60,"50-59",A957&gt;=60,"60+")</f>
        <v>60+</v>
      </c>
      <c r="U958" t="str">
        <f t="shared" si="89"/>
        <v>High (Stage 1)</v>
      </c>
    </row>
    <row r="959" spans="1:21">
      <c r="A959">
        <v>50</v>
      </c>
      <c r="B959">
        <v>1</v>
      </c>
      <c r="C959">
        <v>2</v>
      </c>
      <c r="D959">
        <v>140</v>
      </c>
      <c r="E959">
        <v>233</v>
      </c>
      <c r="F959">
        <v>0</v>
      </c>
      <c r="G959">
        <v>1</v>
      </c>
      <c r="H959">
        <v>163</v>
      </c>
      <c r="I959">
        <v>0</v>
      </c>
      <c r="J959">
        <v>0.6</v>
      </c>
      <c r="K959">
        <v>1</v>
      </c>
      <c r="L959">
        <v>1</v>
      </c>
      <c r="M959">
        <v>3</v>
      </c>
      <c r="N959">
        <v>0</v>
      </c>
      <c r="O959" t="str">
        <f t="shared" si="84"/>
        <v>Male</v>
      </c>
      <c r="P959" t="str">
        <f t="shared" si="85"/>
        <v>No Disease</v>
      </c>
      <c r="Q959" t="str">
        <f t="shared" si="86"/>
        <v>Non-Anginal Pain</v>
      </c>
      <c r="R959" t="str">
        <f t="shared" si="87"/>
        <v>Normal</v>
      </c>
      <c r="S959" t="str">
        <f t="shared" si="88"/>
        <v>No</v>
      </c>
      <c r="T959" t="str" cm="1">
        <f t="array" ref="T959">_xlfn.IFS(A958&lt;30,"18-29",A958&lt;40,"30-39",A958&lt;50,"40-49",A958&lt;60,"50-59",A958&gt;=60,"60+")</f>
        <v>40-49</v>
      </c>
      <c r="U959" t="str">
        <f t="shared" si="89"/>
        <v>High (Stage 2)</v>
      </c>
    </row>
    <row r="960" spans="1:21">
      <c r="A960">
        <v>65</v>
      </c>
      <c r="B960">
        <v>0</v>
      </c>
      <c r="C960">
        <v>2</v>
      </c>
      <c r="D960">
        <v>140</v>
      </c>
      <c r="E960">
        <v>417</v>
      </c>
      <c r="F960">
        <v>1</v>
      </c>
      <c r="G960">
        <v>0</v>
      </c>
      <c r="H960">
        <v>157</v>
      </c>
      <c r="I960">
        <v>0</v>
      </c>
      <c r="J960">
        <v>0.8</v>
      </c>
      <c r="K960">
        <v>2</v>
      </c>
      <c r="L960">
        <v>1</v>
      </c>
      <c r="M960">
        <v>2</v>
      </c>
      <c r="N960">
        <v>1</v>
      </c>
      <c r="O960" t="str">
        <f t="shared" si="84"/>
        <v>Female</v>
      </c>
      <c r="P960" t="str">
        <f t="shared" si="85"/>
        <v>Heart Disease</v>
      </c>
      <c r="Q960" t="str">
        <f t="shared" si="86"/>
        <v>Non-Anginal Pain</v>
      </c>
      <c r="R960" t="str">
        <f t="shared" si="87"/>
        <v>High</v>
      </c>
      <c r="S960" t="str">
        <f t="shared" si="88"/>
        <v>No</v>
      </c>
      <c r="T960" t="str" cm="1">
        <f t="array" ref="T960">_xlfn.IFS(A959&lt;30,"18-29",A959&lt;40,"30-39",A959&lt;50,"40-49",A959&lt;60,"50-59",A959&gt;=60,"60+")</f>
        <v>50-59</v>
      </c>
      <c r="U960" t="str">
        <f t="shared" si="89"/>
        <v>High (Stage 2)</v>
      </c>
    </row>
    <row r="961" spans="1:21">
      <c r="A961">
        <v>69</v>
      </c>
      <c r="B961">
        <v>0</v>
      </c>
      <c r="C961">
        <v>3</v>
      </c>
      <c r="D961">
        <v>140</v>
      </c>
      <c r="E961">
        <v>239</v>
      </c>
      <c r="F961">
        <v>0</v>
      </c>
      <c r="G961">
        <v>1</v>
      </c>
      <c r="H961">
        <v>151</v>
      </c>
      <c r="I961">
        <v>0</v>
      </c>
      <c r="J961">
        <v>1.8</v>
      </c>
      <c r="K961">
        <v>2</v>
      </c>
      <c r="L961">
        <v>2</v>
      </c>
      <c r="M961">
        <v>2</v>
      </c>
      <c r="N961">
        <v>1</v>
      </c>
      <c r="O961" t="str">
        <f t="shared" si="84"/>
        <v>Female</v>
      </c>
      <c r="P961" t="str">
        <f t="shared" si="85"/>
        <v>Heart Disease</v>
      </c>
      <c r="Q961" t="str">
        <f t="shared" si="86"/>
        <v>Asymptomatic</v>
      </c>
      <c r="R961" t="str">
        <f t="shared" si="87"/>
        <v>Normal</v>
      </c>
      <c r="S961" t="str">
        <f t="shared" si="88"/>
        <v>No</v>
      </c>
      <c r="T961" t="str" cm="1">
        <f t="array" ref="T961">_xlfn.IFS(A960&lt;30,"18-29",A960&lt;40,"30-39",A960&lt;50,"40-49",A960&lt;60,"50-59",A960&gt;=60,"60+")</f>
        <v>60+</v>
      </c>
      <c r="U961" t="str">
        <f t="shared" si="89"/>
        <v>High (Stage 2)</v>
      </c>
    </row>
    <row r="962" spans="1:21">
      <c r="A962">
        <v>52</v>
      </c>
      <c r="B962">
        <v>0</v>
      </c>
      <c r="C962">
        <v>2</v>
      </c>
      <c r="D962">
        <v>136</v>
      </c>
      <c r="E962">
        <v>196</v>
      </c>
      <c r="F962">
        <v>0</v>
      </c>
      <c r="G962">
        <v>0</v>
      </c>
      <c r="H962">
        <v>169</v>
      </c>
      <c r="I962">
        <v>0</v>
      </c>
      <c r="J962">
        <v>0.1</v>
      </c>
      <c r="K962">
        <v>1</v>
      </c>
      <c r="L962">
        <v>0</v>
      </c>
      <c r="M962">
        <v>2</v>
      </c>
      <c r="N962">
        <v>1</v>
      </c>
      <c r="O962" t="str">
        <f t="shared" ref="O962:O1026" si="90">IF(B962=1,"Male","Female")</f>
        <v>Female</v>
      </c>
      <c r="P962" t="str">
        <f t="shared" ref="P962:P1026" si="91">IF(N962=1,"Heart Disease","No Disease")</f>
        <v>Heart Disease</v>
      </c>
      <c r="Q962" t="str">
        <f t="shared" ref="Q962:Q1028" si="92">IF(C962=0,"Typical Angina",IF(C962=1,"Atypical Angina",IF(C962=2,"Non-Anginal Pain","Asymptomatic")))</f>
        <v>Non-Anginal Pain</v>
      </c>
      <c r="R962" t="str">
        <f t="shared" ref="R962:R1026" si="93">IF(F962=1,"High","Normal")</f>
        <v>Normal</v>
      </c>
      <c r="S962" t="str">
        <f t="shared" ref="S962:S1026" si="94">IF(I962=1,"Yes","No")</f>
        <v>No</v>
      </c>
      <c r="T962" t="str" cm="1">
        <f t="array" ref="T962">_xlfn.IFS(A961&lt;30,"18-29",A961&lt;40,"30-39",A961&lt;50,"40-49",A961&lt;60,"50-59",A961&gt;=60,"60+")</f>
        <v>60+</v>
      </c>
      <c r="U962" t="str">
        <f t="shared" ref="U962:U1028" si="95">IF(D962&lt;120,"Normal",IF(D962&lt;130,"Elevated",IF(D962&lt;140,"High (Stage 1)","High (Stage 2)")))</f>
        <v>High (Stage 1)</v>
      </c>
    </row>
    <row r="963" spans="1:21">
      <c r="A963">
        <v>58</v>
      </c>
      <c r="B963">
        <v>0</v>
      </c>
      <c r="C963">
        <v>0</v>
      </c>
      <c r="D963">
        <v>100</v>
      </c>
      <c r="E963">
        <v>248</v>
      </c>
      <c r="F963">
        <v>0</v>
      </c>
      <c r="G963">
        <v>0</v>
      </c>
      <c r="H963">
        <v>122</v>
      </c>
      <c r="I963">
        <v>0</v>
      </c>
      <c r="J963">
        <v>1</v>
      </c>
      <c r="K963">
        <v>1</v>
      </c>
      <c r="L963">
        <v>0</v>
      </c>
      <c r="M963">
        <v>2</v>
      </c>
      <c r="N963">
        <v>1</v>
      </c>
      <c r="O963" t="str">
        <f t="shared" si="90"/>
        <v>Female</v>
      </c>
      <c r="P963" t="str">
        <f t="shared" si="91"/>
        <v>Heart Disease</v>
      </c>
      <c r="Q963" t="str">
        <f t="shared" si="92"/>
        <v>Typical Angina</v>
      </c>
      <c r="R963" t="str">
        <f t="shared" si="93"/>
        <v>Normal</v>
      </c>
      <c r="S963" t="str">
        <f t="shared" si="94"/>
        <v>No</v>
      </c>
      <c r="T963" t="str" cm="1">
        <f t="array" ref="T963">_xlfn.IFS(A962&lt;30,"18-29",A962&lt;40,"30-39",A962&lt;50,"40-49",A962&lt;60,"50-59",A962&gt;=60,"60+")</f>
        <v>50-59</v>
      </c>
      <c r="U963" t="str">
        <f t="shared" si="95"/>
        <v>Normal</v>
      </c>
    </row>
    <row r="964" spans="1:21">
      <c r="A964">
        <v>52</v>
      </c>
      <c r="B964">
        <v>1</v>
      </c>
      <c r="C964">
        <v>0</v>
      </c>
      <c r="D964">
        <v>108</v>
      </c>
      <c r="E964">
        <v>233</v>
      </c>
      <c r="F964">
        <v>1</v>
      </c>
      <c r="G964">
        <v>1</v>
      </c>
      <c r="H964">
        <v>147</v>
      </c>
      <c r="I964">
        <v>0</v>
      </c>
      <c r="J964">
        <v>0.1</v>
      </c>
      <c r="K964">
        <v>2</v>
      </c>
      <c r="L964">
        <v>3</v>
      </c>
      <c r="M964">
        <v>3</v>
      </c>
      <c r="N964">
        <v>1</v>
      </c>
      <c r="O964" t="str">
        <f t="shared" si="90"/>
        <v>Male</v>
      </c>
      <c r="P964" t="str">
        <f t="shared" si="91"/>
        <v>Heart Disease</v>
      </c>
      <c r="Q964" t="str">
        <f t="shared" si="92"/>
        <v>Typical Angina</v>
      </c>
      <c r="R964" t="str">
        <f t="shared" si="93"/>
        <v>High</v>
      </c>
      <c r="S964" t="str">
        <f t="shared" si="94"/>
        <v>No</v>
      </c>
      <c r="T964" t="str" cm="1">
        <f t="array" ref="T964">_xlfn.IFS(A963&lt;30,"18-29",A963&lt;40,"30-39",A963&lt;50,"40-49",A963&lt;60,"50-59",A963&gt;=60,"60+")</f>
        <v>50-59</v>
      </c>
      <c r="U964" t="str">
        <f t="shared" si="95"/>
        <v>Normal</v>
      </c>
    </row>
    <row r="965" spans="1:21">
      <c r="A965">
        <v>57</v>
      </c>
      <c r="B965">
        <v>0</v>
      </c>
      <c r="C965">
        <v>0</v>
      </c>
      <c r="D965">
        <v>140</v>
      </c>
      <c r="E965">
        <v>241</v>
      </c>
      <c r="F965">
        <v>0</v>
      </c>
      <c r="G965">
        <v>1</v>
      </c>
      <c r="H965">
        <v>123</v>
      </c>
      <c r="I965">
        <v>1</v>
      </c>
      <c r="J965">
        <v>0.2</v>
      </c>
      <c r="K965">
        <v>1</v>
      </c>
      <c r="L965">
        <v>0</v>
      </c>
      <c r="M965">
        <v>3</v>
      </c>
      <c r="N965">
        <v>0</v>
      </c>
      <c r="O965" t="str">
        <f t="shared" si="90"/>
        <v>Female</v>
      </c>
      <c r="P965" t="str">
        <f t="shared" si="91"/>
        <v>No Disease</v>
      </c>
      <c r="Q965" t="str">
        <f t="shared" si="92"/>
        <v>Typical Angina</v>
      </c>
      <c r="R965" t="str">
        <f t="shared" si="93"/>
        <v>Normal</v>
      </c>
      <c r="S965" t="str">
        <f t="shared" si="94"/>
        <v>Yes</v>
      </c>
      <c r="T965" t="str" cm="1">
        <f t="array" ref="T965">_xlfn.IFS(A964&lt;30,"18-29",A964&lt;40,"30-39",A964&lt;50,"40-49",A964&lt;60,"50-59",A964&gt;=60,"60+")</f>
        <v>50-59</v>
      </c>
      <c r="U965" t="str">
        <f t="shared" si="95"/>
        <v>High (Stage 2)</v>
      </c>
    </row>
    <row r="966" spans="1:21">
      <c r="A966">
        <v>44</v>
      </c>
      <c r="B966">
        <v>0</v>
      </c>
      <c r="C966">
        <v>2</v>
      </c>
      <c r="D966">
        <v>108</v>
      </c>
      <c r="E966">
        <v>141</v>
      </c>
      <c r="F966">
        <v>0</v>
      </c>
      <c r="G966">
        <v>1</v>
      </c>
      <c r="H966">
        <v>175</v>
      </c>
      <c r="I966">
        <v>0</v>
      </c>
      <c r="J966">
        <v>0.6</v>
      </c>
      <c r="K966">
        <v>1</v>
      </c>
      <c r="L966">
        <v>0</v>
      </c>
      <c r="M966">
        <v>2</v>
      </c>
      <c r="N966">
        <v>1</v>
      </c>
      <c r="O966" t="str">
        <f t="shared" si="90"/>
        <v>Female</v>
      </c>
      <c r="P966" t="str">
        <f t="shared" si="91"/>
        <v>Heart Disease</v>
      </c>
      <c r="Q966" t="str">
        <f t="shared" si="92"/>
        <v>Non-Anginal Pain</v>
      </c>
      <c r="R966" t="str">
        <f t="shared" si="93"/>
        <v>Normal</v>
      </c>
      <c r="S966" t="str">
        <f t="shared" si="94"/>
        <v>No</v>
      </c>
      <c r="T966" t="str" cm="1">
        <f t="array" ref="T966">_xlfn.IFS(A965&lt;30,"18-29",A965&lt;40,"30-39",A965&lt;50,"40-49",A965&lt;60,"50-59",A965&gt;=60,"60+")</f>
        <v>50-59</v>
      </c>
      <c r="U966" t="str">
        <f t="shared" si="95"/>
        <v>Normal</v>
      </c>
    </row>
    <row r="967" spans="1:21">
      <c r="A967">
        <v>76</v>
      </c>
      <c r="B967">
        <v>0</v>
      </c>
      <c r="C967">
        <v>2</v>
      </c>
      <c r="D967">
        <v>140</v>
      </c>
      <c r="E967">
        <v>197</v>
      </c>
      <c r="F967">
        <v>0</v>
      </c>
      <c r="G967">
        <v>2</v>
      </c>
      <c r="H967">
        <v>116</v>
      </c>
      <c r="I967">
        <v>0</v>
      </c>
      <c r="J967">
        <v>1.1000000000000001</v>
      </c>
      <c r="K967">
        <v>1</v>
      </c>
      <c r="L967">
        <v>0</v>
      </c>
      <c r="M967">
        <v>2</v>
      </c>
      <c r="N967">
        <v>1</v>
      </c>
      <c r="O967" t="str">
        <f t="shared" si="90"/>
        <v>Female</v>
      </c>
      <c r="P967" t="str">
        <f t="shared" si="91"/>
        <v>Heart Disease</v>
      </c>
      <c r="Q967" t="str">
        <f t="shared" si="92"/>
        <v>Non-Anginal Pain</v>
      </c>
      <c r="R967" t="str">
        <f t="shared" si="93"/>
        <v>Normal</v>
      </c>
      <c r="S967" t="str">
        <f t="shared" si="94"/>
        <v>No</v>
      </c>
      <c r="T967" t="str" cm="1">
        <f t="array" ref="T967">_xlfn.IFS(A966&lt;30,"18-29",A966&lt;40,"30-39",A966&lt;50,"40-49",A966&lt;60,"50-59",A966&gt;=60,"60+")</f>
        <v>40-49</v>
      </c>
      <c r="U967" t="str">
        <f t="shared" si="95"/>
        <v>High (Stage 2)</v>
      </c>
    </row>
    <row r="968" spans="1:21">
      <c r="A968">
        <v>58</v>
      </c>
      <c r="B968">
        <v>1</v>
      </c>
      <c r="C968">
        <v>0</v>
      </c>
      <c r="D968">
        <v>128</v>
      </c>
      <c r="E968">
        <v>259</v>
      </c>
      <c r="F968">
        <v>0</v>
      </c>
      <c r="G968">
        <v>0</v>
      </c>
      <c r="H968">
        <v>130</v>
      </c>
      <c r="I968">
        <v>1</v>
      </c>
      <c r="J968">
        <v>3</v>
      </c>
      <c r="K968">
        <v>1</v>
      </c>
      <c r="L968">
        <v>2</v>
      </c>
      <c r="M968">
        <v>3</v>
      </c>
      <c r="N968">
        <v>0</v>
      </c>
      <c r="O968" t="str">
        <f t="shared" si="90"/>
        <v>Male</v>
      </c>
      <c r="P968" t="str">
        <f t="shared" si="91"/>
        <v>No Disease</v>
      </c>
      <c r="Q968" t="str">
        <f t="shared" si="92"/>
        <v>Typical Angina</v>
      </c>
      <c r="R968" t="str">
        <f t="shared" si="93"/>
        <v>Normal</v>
      </c>
      <c r="S968" t="str">
        <f t="shared" si="94"/>
        <v>Yes</v>
      </c>
      <c r="T968" t="str" cm="1">
        <f t="array" ref="T968">_xlfn.IFS(A967&lt;30,"18-29",A967&lt;40,"30-39",A967&lt;50,"40-49",A967&lt;60,"50-59",A967&gt;=60,"60+")</f>
        <v>60+</v>
      </c>
      <c r="U968" t="str">
        <f t="shared" si="95"/>
        <v>Elevated</v>
      </c>
    </row>
    <row r="969" spans="1:21">
      <c r="A969">
        <v>60</v>
      </c>
      <c r="B969">
        <v>0</v>
      </c>
      <c r="C969">
        <v>2</v>
      </c>
      <c r="D969">
        <v>120</v>
      </c>
      <c r="E969">
        <v>178</v>
      </c>
      <c r="F969">
        <v>1</v>
      </c>
      <c r="G969">
        <v>1</v>
      </c>
      <c r="H969">
        <v>96</v>
      </c>
      <c r="I969">
        <v>0</v>
      </c>
      <c r="J969">
        <v>0</v>
      </c>
      <c r="K969">
        <v>2</v>
      </c>
      <c r="L969">
        <v>0</v>
      </c>
      <c r="M969">
        <v>2</v>
      </c>
      <c r="N969">
        <v>1</v>
      </c>
      <c r="O969" t="str">
        <f t="shared" si="90"/>
        <v>Female</v>
      </c>
      <c r="P969" t="str">
        <f t="shared" si="91"/>
        <v>Heart Disease</v>
      </c>
      <c r="Q969" t="str">
        <f t="shared" si="92"/>
        <v>Non-Anginal Pain</v>
      </c>
      <c r="R969" t="str">
        <f t="shared" si="93"/>
        <v>High</v>
      </c>
      <c r="S969" t="str">
        <f t="shared" si="94"/>
        <v>No</v>
      </c>
      <c r="T969" t="str" cm="1">
        <f t="array" ref="T969">_xlfn.IFS(A968&lt;30,"18-29",A968&lt;40,"30-39",A968&lt;50,"40-49",A968&lt;60,"50-59",A968&gt;=60,"60+")</f>
        <v>50-59</v>
      </c>
      <c r="U969" t="str">
        <f t="shared" si="95"/>
        <v>Elevated</v>
      </c>
    </row>
    <row r="970" spans="1:21">
      <c r="A970">
        <v>53</v>
      </c>
      <c r="B970">
        <v>1</v>
      </c>
      <c r="C970">
        <v>0</v>
      </c>
      <c r="D970">
        <v>140</v>
      </c>
      <c r="E970">
        <v>203</v>
      </c>
      <c r="F970">
        <v>1</v>
      </c>
      <c r="G970">
        <v>0</v>
      </c>
      <c r="H970">
        <v>155</v>
      </c>
      <c r="I970">
        <v>1</v>
      </c>
      <c r="J970">
        <v>3.1</v>
      </c>
      <c r="K970">
        <v>0</v>
      </c>
      <c r="L970">
        <v>0</v>
      </c>
      <c r="M970">
        <v>3</v>
      </c>
      <c r="N970">
        <v>0</v>
      </c>
      <c r="O970" t="str">
        <f t="shared" si="90"/>
        <v>Male</v>
      </c>
      <c r="P970" t="str">
        <f t="shared" si="91"/>
        <v>No Disease</v>
      </c>
      <c r="Q970" t="str">
        <f t="shared" si="92"/>
        <v>Typical Angina</v>
      </c>
      <c r="R970" t="str">
        <f t="shared" si="93"/>
        <v>High</v>
      </c>
      <c r="S970" t="str">
        <f t="shared" si="94"/>
        <v>Yes</v>
      </c>
      <c r="T970" t="str" cm="1">
        <f t="array" ref="T970">_xlfn.IFS(A969&lt;30,"18-29",A969&lt;40,"30-39",A969&lt;50,"40-49",A969&lt;60,"50-59",A969&gt;=60,"60+")</f>
        <v>60+</v>
      </c>
      <c r="U970" t="str">
        <f t="shared" si="95"/>
        <v>High (Stage 2)</v>
      </c>
    </row>
    <row r="971" spans="1:21">
      <c r="A971">
        <v>52</v>
      </c>
      <c r="B971">
        <v>1</v>
      </c>
      <c r="C971">
        <v>1</v>
      </c>
      <c r="D971">
        <v>120</v>
      </c>
      <c r="E971">
        <v>325</v>
      </c>
      <c r="F971">
        <v>0</v>
      </c>
      <c r="G971">
        <v>1</v>
      </c>
      <c r="H971">
        <v>172</v>
      </c>
      <c r="I971">
        <v>0</v>
      </c>
      <c r="J971">
        <v>0.2</v>
      </c>
      <c r="K971">
        <v>2</v>
      </c>
      <c r="L971">
        <v>0</v>
      </c>
      <c r="M971">
        <v>2</v>
      </c>
      <c r="N971">
        <v>1</v>
      </c>
      <c r="O971" t="str">
        <f t="shared" si="90"/>
        <v>Male</v>
      </c>
      <c r="P971" t="str">
        <f t="shared" si="91"/>
        <v>Heart Disease</v>
      </c>
      <c r="Q971" t="str">
        <f t="shared" si="92"/>
        <v>Atypical Angina</v>
      </c>
      <c r="R971" t="str">
        <f t="shared" si="93"/>
        <v>Normal</v>
      </c>
      <c r="S971" t="str">
        <f t="shared" si="94"/>
        <v>No</v>
      </c>
      <c r="T971" t="str" cm="1">
        <f t="array" ref="T971">_xlfn.IFS(A970&lt;30,"18-29",A970&lt;40,"30-39",A970&lt;50,"40-49",A970&lt;60,"50-59",A970&gt;=60,"60+")</f>
        <v>50-59</v>
      </c>
      <c r="U971" t="str">
        <f t="shared" si="95"/>
        <v>Elevated</v>
      </c>
    </row>
    <row r="972" spans="1:21">
      <c r="A972">
        <v>38</v>
      </c>
      <c r="B972">
        <v>1</v>
      </c>
      <c r="C972">
        <v>2</v>
      </c>
      <c r="D972">
        <v>138</v>
      </c>
      <c r="E972">
        <v>175</v>
      </c>
      <c r="F972">
        <v>0</v>
      </c>
      <c r="G972">
        <v>1</v>
      </c>
      <c r="H972">
        <v>173</v>
      </c>
      <c r="I972">
        <v>0</v>
      </c>
      <c r="J972">
        <v>0</v>
      </c>
      <c r="K972">
        <v>2</v>
      </c>
      <c r="L972">
        <v>4</v>
      </c>
      <c r="M972">
        <v>2</v>
      </c>
      <c r="N972">
        <v>1</v>
      </c>
      <c r="O972" t="str">
        <f t="shared" si="90"/>
        <v>Male</v>
      </c>
      <c r="P972" t="str">
        <f t="shared" si="91"/>
        <v>Heart Disease</v>
      </c>
      <c r="Q972" t="str">
        <f t="shared" si="92"/>
        <v>Non-Anginal Pain</v>
      </c>
      <c r="R972" t="str">
        <f t="shared" si="93"/>
        <v>Normal</v>
      </c>
      <c r="S972" t="str">
        <f t="shared" si="94"/>
        <v>No</v>
      </c>
      <c r="T972" t="str" cm="1">
        <f t="array" ref="T972">_xlfn.IFS(A971&lt;30,"18-29",A971&lt;40,"30-39",A971&lt;50,"40-49",A971&lt;60,"50-59",A971&gt;=60,"60+")</f>
        <v>50-59</v>
      </c>
      <c r="U972" t="str">
        <f t="shared" si="95"/>
        <v>High (Stage 1)</v>
      </c>
    </row>
    <row r="973" spans="1:21">
      <c r="A973">
        <v>52</v>
      </c>
      <c r="B973">
        <v>1</v>
      </c>
      <c r="C973">
        <v>2</v>
      </c>
      <c r="D973">
        <v>172</v>
      </c>
      <c r="E973">
        <v>199</v>
      </c>
      <c r="F973">
        <v>1</v>
      </c>
      <c r="G973">
        <v>1</v>
      </c>
      <c r="H973">
        <v>162</v>
      </c>
      <c r="I973">
        <v>0</v>
      </c>
      <c r="J973">
        <v>0.5</v>
      </c>
      <c r="K973">
        <v>2</v>
      </c>
      <c r="L973">
        <v>0</v>
      </c>
      <c r="M973">
        <v>3</v>
      </c>
      <c r="N973">
        <v>1</v>
      </c>
      <c r="O973" t="str">
        <f t="shared" si="90"/>
        <v>Male</v>
      </c>
      <c r="P973" t="str">
        <f t="shared" si="91"/>
        <v>Heart Disease</v>
      </c>
      <c r="Q973" t="str">
        <f t="shared" si="92"/>
        <v>Non-Anginal Pain</v>
      </c>
      <c r="R973" t="str">
        <f t="shared" si="93"/>
        <v>High</v>
      </c>
      <c r="S973" t="str">
        <f t="shared" si="94"/>
        <v>No</v>
      </c>
      <c r="T973" t="str" cm="1">
        <f t="array" ref="T973">_xlfn.IFS(A972&lt;30,"18-29",A972&lt;40,"30-39",A972&lt;50,"40-49",A972&lt;60,"50-59",A972&gt;=60,"60+")</f>
        <v>30-39</v>
      </c>
      <c r="U973" t="str">
        <f t="shared" si="95"/>
        <v>High (Stage 2)</v>
      </c>
    </row>
    <row r="974" spans="1:21">
      <c r="A974">
        <v>52</v>
      </c>
      <c r="B974">
        <v>1</v>
      </c>
      <c r="C974">
        <v>3</v>
      </c>
      <c r="D974">
        <v>118</v>
      </c>
      <c r="E974">
        <v>186</v>
      </c>
      <c r="F974">
        <v>0</v>
      </c>
      <c r="G974">
        <v>0</v>
      </c>
      <c r="H974">
        <v>190</v>
      </c>
      <c r="I974">
        <v>0</v>
      </c>
      <c r="J974">
        <v>0</v>
      </c>
      <c r="K974">
        <v>1</v>
      </c>
      <c r="L974">
        <v>0</v>
      </c>
      <c r="M974">
        <v>1</v>
      </c>
      <c r="N974">
        <v>1</v>
      </c>
      <c r="O974" t="str">
        <f t="shared" si="90"/>
        <v>Male</v>
      </c>
      <c r="P974" t="str">
        <f t="shared" si="91"/>
        <v>Heart Disease</v>
      </c>
      <c r="Q974" t="str">
        <f t="shared" si="92"/>
        <v>Asymptomatic</v>
      </c>
      <c r="R974" t="str">
        <f t="shared" si="93"/>
        <v>Normal</v>
      </c>
      <c r="S974" t="str">
        <f t="shared" si="94"/>
        <v>No</v>
      </c>
      <c r="T974" t="str" cm="1">
        <f t="array" ref="T974">_xlfn.IFS(A973&lt;30,"18-29",A973&lt;40,"30-39",A973&lt;50,"40-49",A973&lt;60,"50-59",A973&gt;=60,"60+")</f>
        <v>50-59</v>
      </c>
      <c r="U974" t="str">
        <f t="shared" si="95"/>
        <v>Normal</v>
      </c>
    </row>
    <row r="975" spans="1:21">
      <c r="A975">
        <v>51</v>
      </c>
      <c r="B975">
        <v>1</v>
      </c>
      <c r="C975">
        <v>2</v>
      </c>
      <c r="D975">
        <v>125</v>
      </c>
      <c r="E975">
        <v>245</v>
      </c>
      <c r="F975">
        <v>1</v>
      </c>
      <c r="G975">
        <v>0</v>
      </c>
      <c r="H975">
        <v>166</v>
      </c>
      <c r="I975">
        <v>0</v>
      </c>
      <c r="J975">
        <v>2.4</v>
      </c>
      <c r="K975">
        <v>1</v>
      </c>
      <c r="L975">
        <v>0</v>
      </c>
      <c r="M975">
        <v>2</v>
      </c>
      <c r="N975">
        <v>1</v>
      </c>
      <c r="O975" t="str">
        <f t="shared" si="90"/>
        <v>Male</v>
      </c>
      <c r="P975" t="str">
        <f t="shared" si="91"/>
        <v>Heart Disease</v>
      </c>
      <c r="Q975" t="str">
        <f t="shared" si="92"/>
        <v>Non-Anginal Pain</v>
      </c>
      <c r="R975" t="str">
        <f t="shared" si="93"/>
        <v>High</v>
      </c>
      <c r="S975" t="str">
        <f t="shared" si="94"/>
        <v>No</v>
      </c>
      <c r="T975" t="str" cm="1">
        <f t="array" ref="T975">_xlfn.IFS(A974&lt;30,"18-29",A974&lt;40,"30-39",A974&lt;50,"40-49",A974&lt;60,"50-59",A974&gt;=60,"60+")</f>
        <v>50-59</v>
      </c>
      <c r="U975" t="str">
        <f t="shared" si="95"/>
        <v>Elevated</v>
      </c>
    </row>
    <row r="976" spans="1:21">
      <c r="A976">
        <v>43</v>
      </c>
      <c r="B976">
        <v>1</v>
      </c>
      <c r="C976">
        <v>0</v>
      </c>
      <c r="D976">
        <v>110</v>
      </c>
      <c r="E976">
        <v>211</v>
      </c>
      <c r="F976">
        <v>0</v>
      </c>
      <c r="G976">
        <v>1</v>
      </c>
      <c r="H976">
        <v>161</v>
      </c>
      <c r="I976">
        <v>0</v>
      </c>
      <c r="J976">
        <v>0</v>
      </c>
      <c r="K976">
        <v>2</v>
      </c>
      <c r="L976">
        <v>0</v>
      </c>
      <c r="M976">
        <v>3</v>
      </c>
      <c r="N976">
        <v>1</v>
      </c>
      <c r="O976" t="str">
        <f t="shared" si="90"/>
        <v>Male</v>
      </c>
      <c r="P976" t="str">
        <f t="shared" si="91"/>
        <v>Heart Disease</v>
      </c>
      <c r="Q976" t="str">
        <f t="shared" si="92"/>
        <v>Typical Angina</v>
      </c>
      <c r="R976" t="str">
        <f t="shared" si="93"/>
        <v>Normal</v>
      </c>
      <c r="S976" t="str">
        <f t="shared" si="94"/>
        <v>No</v>
      </c>
      <c r="T976" t="str" cm="1">
        <f t="array" ref="T976">_xlfn.IFS(A975&lt;30,"18-29",A975&lt;40,"30-39",A975&lt;50,"40-49",A975&lt;60,"50-59",A975&gt;=60,"60+")</f>
        <v>50-59</v>
      </c>
      <c r="U976" t="str">
        <f t="shared" si="95"/>
        <v>Normal</v>
      </c>
    </row>
    <row r="977" spans="1:21">
      <c r="A977">
        <v>39</v>
      </c>
      <c r="B977">
        <v>1</v>
      </c>
      <c r="C977">
        <v>0</v>
      </c>
      <c r="D977">
        <v>118</v>
      </c>
      <c r="E977">
        <v>219</v>
      </c>
      <c r="F977">
        <v>0</v>
      </c>
      <c r="G977">
        <v>1</v>
      </c>
      <c r="H977">
        <v>140</v>
      </c>
      <c r="I977">
        <v>0</v>
      </c>
      <c r="J977">
        <v>1.2</v>
      </c>
      <c r="K977">
        <v>1</v>
      </c>
      <c r="L977">
        <v>0</v>
      </c>
      <c r="M977">
        <v>3</v>
      </c>
      <c r="N977">
        <v>0</v>
      </c>
      <c r="O977" t="str">
        <f t="shared" si="90"/>
        <v>Male</v>
      </c>
      <c r="P977" t="str">
        <f t="shared" si="91"/>
        <v>No Disease</v>
      </c>
      <c r="Q977" t="str">
        <f t="shared" si="92"/>
        <v>Typical Angina</v>
      </c>
      <c r="R977" t="str">
        <f t="shared" si="93"/>
        <v>Normal</v>
      </c>
      <c r="S977" t="str">
        <f t="shared" si="94"/>
        <v>No</v>
      </c>
      <c r="T977" t="str" cm="1">
        <f t="array" ref="T977">_xlfn.IFS(A976&lt;30,"18-29",A976&lt;40,"30-39",A976&lt;50,"40-49",A976&lt;60,"50-59",A976&gt;=60,"60+")</f>
        <v>40-49</v>
      </c>
      <c r="U977" t="str">
        <f t="shared" si="95"/>
        <v>Normal</v>
      </c>
    </row>
    <row r="978" spans="1:21">
      <c r="A978">
        <v>63</v>
      </c>
      <c r="B978">
        <v>0</v>
      </c>
      <c r="C978">
        <v>0</v>
      </c>
      <c r="D978">
        <v>108</v>
      </c>
      <c r="E978">
        <v>269</v>
      </c>
      <c r="F978">
        <v>0</v>
      </c>
      <c r="G978">
        <v>1</v>
      </c>
      <c r="H978">
        <v>169</v>
      </c>
      <c r="I978">
        <v>1</v>
      </c>
      <c r="J978">
        <v>1.8</v>
      </c>
      <c r="K978">
        <v>1</v>
      </c>
      <c r="L978">
        <v>2</v>
      </c>
      <c r="M978">
        <v>2</v>
      </c>
      <c r="N978">
        <v>0</v>
      </c>
      <c r="O978" t="str">
        <f t="shared" si="90"/>
        <v>Female</v>
      </c>
      <c r="P978" t="str">
        <f t="shared" si="91"/>
        <v>No Disease</v>
      </c>
      <c r="Q978" t="str">
        <f t="shared" si="92"/>
        <v>Typical Angina</v>
      </c>
      <c r="R978" t="str">
        <f t="shared" si="93"/>
        <v>Normal</v>
      </c>
      <c r="S978" t="str">
        <f t="shared" si="94"/>
        <v>Yes</v>
      </c>
      <c r="T978" t="str" cm="1">
        <f t="array" ref="T978">_xlfn.IFS(A977&lt;30,"18-29",A977&lt;40,"30-39",A977&lt;50,"40-49",A977&lt;60,"50-59",A977&gt;=60,"60+")</f>
        <v>30-39</v>
      </c>
      <c r="U978" t="str">
        <f t="shared" si="95"/>
        <v>Normal</v>
      </c>
    </row>
    <row r="979" spans="1:21">
      <c r="A979">
        <v>52</v>
      </c>
      <c r="B979">
        <v>1</v>
      </c>
      <c r="C979">
        <v>1</v>
      </c>
      <c r="D979">
        <v>128</v>
      </c>
      <c r="E979">
        <v>205</v>
      </c>
      <c r="F979">
        <v>1</v>
      </c>
      <c r="G979">
        <v>1</v>
      </c>
      <c r="H979">
        <v>184</v>
      </c>
      <c r="I979">
        <v>0</v>
      </c>
      <c r="J979">
        <v>0</v>
      </c>
      <c r="K979">
        <v>2</v>
      </c>
      <c r="L979">
        <v>0</v>
      </c>
      <c r="M979">
        <v>2</v>
      </c>
      <c r="N979">
        <v>1</v>
      </c>
      <c r="O979" t="str">
        <f t="shared" si="90"/>
        <v>Male</v>
      </c>
      <c r="P979" t="str">
        <f t="shared" si="91"/>
        <v>Heart Disease</v>
      </c>
      <c r="Q979" t="str">
        <f t="shared" si="92"/>
        <v>Atypical Angina</v>
      </c>
      <c r="R979" t="str">
        <f t="shared" si="93"/>
        <v>High</v>
      </c>
      <c r="S979" t="str">
        <f t="shared" si="94"/>
        <v>No</v>
      </c>
      <c r="T979" t="str" cm="1">
        <f t="array" ref="T979">_xlfn.IFS(A978&lt;30,"18-29",A978&lt;40,"30-39",A978&lt;50,"40-49",A978&lt;60,"50-59",A978&gt;=60,"60+")</f>
        <v>60+</v>
      </c>
      <c r="U979" t="str">
        <f t="shared" si="95"/>
        <v>Elevated</v>
      </c>
    </row>
    <row r="980" spans="1:21">
      <c r="A980">
        <v>44</v>
      </c>
      <c r="B980">
        <v>1</v>
      </c>
      <c r="C980">
        <v>0</v>
      </c>
      <c r="D980">
        <v>110</v>
      </c>
      <c r="E980">
        <v>197</v>
      </c>
      <c r="F980">
        <v>0</v>
      </c>
      <c r="G980">
        <v>0</v>
      </c>
      <c r="H980">
        <v>177</v>
      </c>
      <c r="I980">
        <v>0</v>
      </c>
      <c r="J980">
        <v>0</v>
      </c>
      <c r="K980">
        <v>2</v>
      </c>
      <c r="L980">
        <v>1</v>
      </c>
      <c r="M980">
        <v>2</v>
      </c>
      <c r="N980">
        <v>0</v>
      </c>
      <c r="O980" t="str">
        <f t="shared" si="90"/>
        <v>Male</v>
      </c>
      <c r="P980" t="str">
        <f t="shared" si="91"/>
        <v>No Disease</v>
      </c>
      <c r="Q980" t="str">
        <f t="shared" si="92"/>
        <v>Typical Angina</v>
      </c>
      <c r="R980" t="str">
        <f t="shared" si="93"/>
        <v>Normal</v>
      </c>
      <c r="S980" t="str">
        <f t="shared" si="94"/>
        <v>No</v>
      </c>
      <c r="T980" t="str" cm="1">
        <f t="array" ref="T980">_xlfn.IFS(A979&lt;30,"18-29",A979&lt;40,"30-39",A979&lt;50,"40-49",A979&lt;60,"50-59",A979&gt;=60,"60+")</f>
        <v>50-59</v>
      </c>
      <c r="U980" t="str">
        <f t="shared" si="95"/>
        <v>Normal</v>
      </c>
    </row>
    <row r="981" spans="1:21">
      <c r="A981">
        <v>45</v>
      </c>
      <c r="B981">
        <v>1</v>
      </c>
      <c r="C981">
        <v>0</v>
      </c>
      <c r="D981">
        <v>142</v>
      </c>
      <c r="E981">
        <v>309</v>
      </c>
      <c r="F981">
        <v>0</v>
      </c>
      <c r="G981">
        <v>0</v>
      </c>
      <c r="H981">
        <v>147</v>
      </c>
      <c r="I981">
        <v>1</v>
      </c>
      <c r="J981">
        <v>0</v>
      </c>
      <c r="K981">
        <v>1</v>
      </c>
      <c r="L981">
        <v>3</v>
      </c>
      <c r="M981">
        <v>3</v>
      </c>
      <c r="N981">
        <v>0</v>
      </c>
      <c r="O981" t="str">
        <f t="shared" si="90"/>
        <v>Male</v>
      </c>
      <c r="P981" t="str">
        <f t="shared" si="91"/>
        <v>No Disease</v>
      </c>
      <c r="Q981" t="str">
        <f t="shared" si="92"/>
        <v>Typical Angina</v>
      </c>
      <c r="R981" t="str">
        <f t="shared" si="93"/>
        <v>Normal</v>
      </c>
      <c r="S981" t="str">
        <f t="shared" si="94"/>
        <v>Yes</v>
      </c>
      <c r="T981" t="str" cm="1">
        <f t="array" ref="T981">_xlfn.IFS(A980&lt;30,"18-29",A980&lt;40,"30-39",A980&lt;50,"40-49",A980&lt;60,"50-59",A980&gt;=60,"60+")</f>
        <v>40-49</v>
      </c>
      <c r="U981" t="str">
        <f t="shared" si="95"/>
        <v>High (Stage 2)</v>
      </c>
    </row>
    <row r="982" spans="1:21">
      <c r="A982">
        <v>57</v>
      </c>
      <c r="B982">
        <v>1</v>
      </c>
      <c r="C982">
        <v>0</v>
      </c>
      <c r="D982">
        <v>140</v>
      </c>
      <c r="E982">
        <v>192</v>
      </c>
      <c r="F982">
        <v>0</v>
      </c>
      <c r="G982">
        <v>1</v>
      </c>
      <c r="H982">
        <v>148</v>
      </c>
      <c r="I982">
        <v>0</v>
      </c>
      <c r="J982">
        <v>0.4</v>
      </c>
      <c r="K982">
        <v>1</v>
      </c>
      <c r="L982">
        <v>0</v>
      </c>
      <c r="M982">
        <v>1</v>
      </c>
      <c r="N982">
        <v>1</v>
      </c>
      <c r="O982" t="str">
        <f t="shared" si="90"/>
        <v>Male</v>
      </c>
      <c r="P982" t="str">
        <f t="shared" si="91"/>
        <v>Heart Disease</v>
      </c>
      <c r="Q982" t="str">
        <f t="shared" si="92"/>
        <v>Typical Angina</v>
      </c>
      <c r="R982" t="str">
        <f t="shared" si="93"/>
        <v>Normal</v>
      </c>
      <c r="S982" t="str">
        <f t="shared" si="94"/>
        <v>No</v>
      </c>
      <c r="T982" t="str" cm="1">
        <f t="array" ref="T982">_xlfn.IFS(A981&lt;30,"18-29",A981&lt;40,"30-39",A981&lt;50,"40-49",A981&lt;60,"50-59",A981&gt;=60,"60+")</f>
        <v>40-49</v>
      </c>
      <c r="U982" t="str">
        <f t="shared" si="95"/>
        <v>High (Stage 2)</v>
      </c>
    </row>
    <row r="983" spans="1:21">
      <c r="A983">
        <v>39</v>
      </c>
      <c r="B983">
        <v>1</v>
      </c>
      <c r="C983">
        <v>0</v>
      </c>
      <c r="D983">
        <v>118</v>
      </c>
      <c r="E983">
        <v>219</v>
      </c>
      <c r="F983">
        <v>0</v>
      </c>
      <c r="G983">
        <v>1</v>
      </c>
      <c r="H983">
        <v>140</v>
      </c>
      <c r="I983">
        <v>0</v>
      </c>
      <c r="J983">
        <v>1.2</v>
      </c>
      <c r="K983">
        <v>1</v>
      </c>
      <c r="L983">
        <v>0</v>
      </c>
      <c r="M983">
        <v>3</v>
      </c>
      <c r="N983">
        <v>0</v>
      </c>
      <c r="O983" t="str">
        <f t="shared" si="90"/>
        <v>Male</v>
      </c>
      <c r="P983" t="str">
        <f t="shared" si="91"/>
        <v>No Disease</v>
      </c>
      <c r="Q983" t="str">
        <f t="shared" si="92"/>
        <v>Typical Angina</v>
      </c>
      <c r="R983" t="str">
        <f t="shared" si="93"/>
        <v>Normal</v>
      </c>
      <c r="S983" t="str">
        <f t="shared" si="94"/>
        <v>No</v>
      </c>
      <c r="T983" t="str" cm="1">
        <f t="array" ref="T983">_xlfn.IFS(A982&lt;30,"18-29",A982&lt;40,"30-39",A982&lt;50,"40-49",A982&lt;60,"50-59",A982&gt;=60,"60+")</f>
        <v>50-59</v>
      </c>
      <c r="U983" t="str">
        <f t="shared" si="95"/>
        <v>Normal</v>
      </c>
    </row>
    <row r="984" spans="1:21">
      <c r="A984">
        <v>67</v>
      </c>
      <c r="B984">
        <v>0</v>
      </c>
      <c r="C984">
        <v>0</v>
      </c>
      <c r="D984">
        <v>106</v>
      </c>
      <c r="E984">
        <v>223</v>
      </c>
      <c r="F984">
        <v>0</v>
      </c>
      <c r="G984">
        <v>1</v>
      </c>
      <c r="H984">
        <v>142</v>
      </c>
      <c r="I984">
        <v>0</v>
      </c>
      <c r="J984">
        <v>0.3</v>
      </c>
      <c r="K984">
        <v>2</v>
      </c>
      <c r="L984">
        <v>2</v>
      </c>
      <c r="M984">
        <v>2</v>
      </c>
      <c r="N984">
        <v>1</v>
      </c>
      <c r="O984" t="str">
        <f t="shared" si="90"/>
        <v>Female</v>
      </c>
      <c r="P984" t="str">
        <f t="shared" si="91"/>
        <v>Heart Disease</v>
      </c>
      <c r="Q984" t="str">
        <f t="shared" si="92"/>
        <v>Typical Angina</v>
      </c>
      <c r="R984" t="str">
        <f t="shared" si="93"/>
        <v>Normal</v>
      </c>
      <c r="S984" t="str">
        <f t="shared" si="94"/>
        <v>No</v>
      </c>
      <c r="T984" t="str" cm="1">
        <f t="array" ref="T984">_xlfn.IFS(A983&lt;30,"18-29",A983&lt;40,"30-39",A983&lt;50,"40-49",A983&lt;60,"50-59",A983&gt;=60,"60+")</f>
        <v>30-39</v>
      </c>
      <c r="U984" t="str">
        <f t="shared" si="95"/>
        <v>Normal</v>
      </c>
    </row>
    <row r="985" spans="1:21">
      <c r="A985">
        <v>64</v>
      </c>
      <c r="B985">
        <v>1</v>
      </c>
      <c r="C985">
        <v>0</v>
      </c>
      <c r="D985">
        <v>128</v>
      </c>
      <c r="E985">
        <v>263</v>
      </c>
      <c r="F985">
        <v>0</v>
      </c>
      <c r="G985">
        <v>1</v>
      </c>
      <c r="H985">
        <v>105</v>
      </c>
      <c r="I985">
        <v>1</v>
      </c>
      <c r="J985">
        <v>0.2</v>
      </c>
      <c r="K985">
        <v>1</v>
      </c>
      <c r="L985">
        <v>1</v>
      </c>
      <c r="M985">
        <v>3</v>
      </c>
      <c r="N985">
        <v>1</v>
      </c>
      <c r="O985" t="str">
        <f t="shared" si="90"/>
        <v>Male</v>
      </c>
      <c r="P985" t="str">
        <f t="shared" si="91"/>
        <v>Heart Disease</v>
      </c>
      <c r="Q985" t="str">
        <f t="shared" si="92"/>
        <v>Typical Angina</v>
      </c>
      <c r="R985" t="str">
        <f t="shared" si="93"/>
        <v>Normal</v>
      </c>
      <c r="S985" t="str">
        <f t="shared" si="94"/>
        <v>Yes</v>
      </c>
      <c r="T985" t="str" cm="1">
        <f t="array" ref="T985">_xlfn.IFS(A984&lt;30,"18-29",A984&lt;40,"30-39",A984&lt;50,"40-49",A984&lt;60,"50-59",A984&gt;=60,"60+")</f>
        <v>60+</v>
      </c>
      <c r="U985" t="str">
        <f t="shared" si="95"/>
        <v>Elevated</v>
      </c>
    </row>
    <row r="986" spans="1:21">
      <c r="A986">
        <v>59</v>
      </c>
      <c r="B986">
        <v>1</v>
      </c>
      <c r="C986">
        <v>0</v>
      </c>
      <c r="D986">
        <v>135</v>
      </c>
      <c r="E986">
        <v>234</v>
      </c>
      <c r="F986">
        <v>0</v>
      </c>
      <c r="G986">
        <v>1</v>
      </c>
      <c r="H986">
        <v>161</v>
      </c>
      <c r="I986">
        <v>0</v>
      </c>
      <c r="J986">
        <v>0.5</v>
      </c>
      <c r="K986">
        <v>1</v>
      </c>
      <c r="L986">
        <v>0</v>
      </c>
      <c r="M986">
        <v>3</v>
      </c>
      <c r="N986">
        <v>1</v>
      </c>
      <c r="O986" t="str">
        <f t="shared" si="90"/>
        <v>Male</v>
      </c>
      <c r="P986" t="str">
        <f t="shared" si="91"/>
        <v>Heart Disease</v>
      </c>
      <c r="Q986" t="str">
        <f t="shared" si="92"/>
        <v>Typical Angina</v>
      </c>
      <c r="R986" t="str">
        <f t="shared" si="93"/>
        <v>Normal</v>
      </c>
      <c r="S986" t="str">
        <f t="shared" si="94"/>
        <v>No</v>
      </c>
      <c r="T986" t="str" cm="1">
        <f t="array" ref="T986">_xlfn.IFS(A985&lt;30,"18-29",A985&lt;40,"30-39",A985&lt;50,"40-49",A985&lt;60,"50-59",A985&gt;=60,"60+")</f>
        <v>60+</v>
      </c>
      <c r="U986" t="str">
        <f t="shared" si="95"/>
        <v>High (Stage 1)</v>
      </c>
    </row>
    <row r="987" spans="1:21">
      <c r="A987">
        <v>62</v>
      </c>
      <c r="B987">
        <v>1</v>
      </c>
      <c r="C987">
        <v>2</v>
      </c>
      <c r="D987">
        <v>130</v>
      </c>
      <c r="E987">
        <v>231</v>
      </c>
      <c r="F987">
        <v>0</v>
      </c>
      <c r="G987">
        <v>1</v>
      </c>
      <c r="H987">
        <v>146</v>
      </c>
      <c r="I987">
        <v>0</v>
      </c>
      <c r="J987">
        <v>1.8</v>
      </c>
      <c r="K987">
        <v>1</v>
      </c>
      <c r="L987">
        <v>3</v>
      </c>
      <c r="M987">
        <v>3</v>
      </c>
      <c r="N987">
        <v>1</v>
      </c>
      <c r="O987" t="str">
        <f t="shared" si="90"/>
        <v>Male</v>
      </c>
      <c r="P987" t="str">
        <f t="shared" si="91"/>
        <v>Heart Disease</v>
      </c>
      <c r="Q987" t="str">
        <f t="shared" si="92"/>
        <v>Non-Anginal Pain</v>
      </c>
      <c r="R987" t="str">
        <f t="shared" si="93"/>
        <v>Normal</v>
      </c>
      <c r="S987" t="str">
        <f t="shared" si="94"/>
        <v>No</v>
      </c>
      <c r="T987" t="str" cm="1">
        <f t="array" ref="T987">_xlfn.IFS(A986&lt;30,"18-29",A986&lt;40,"30-39",A986&lt;50,"40-49",A986&lt;60,"50-59",A986&gt;=60,"60+")</f>
        <v>50-59</v>
      </c>
      <c r="U987" t="str">
        <f t="shared" si="95"/>
        <v>High (Stage 1)</v>
      </c>
    </row>
    <row r="988" spans="1:21">
      <c r="A988">
        <v>55</v>
      </c>
      <c r="B988">
        <v>0</v>
      </c>
      <c r="C988">
        <v>0</v>
      </c>
      <c r="D988">
        <v>180</v>
      </c>
      <c r="E988">
        <v>327</v>
      </c>
      <c r="F988">
        <v>0</v>
      </c>
      <c r="G988">
        <v>2</v>
      </c>
      <c r="H988">
        <v>117</v>
      </c>
      <c r="I988">
        <v>1</v>
      </c>
      <c r="J988">
        <v>3.4</v>
      </c>
      <c r="K988">
        <v>1</v>
      </c>
      <c r="L988">
        <v>0</v>
      </c>
      <c r="M988">
        <v>2</v>
      </c>
      <c r="N988">
        <v>0</v>
      </c>
      <c r="O988" t="str">
        <f t="shared" si="90"/>
        <v>Female</v>
      </c>
      <c r="P988" t="str">
        <f t="shared" si="91"/>
        <v>No Disease</v>
      </c>
      <c r="Q988" t="str">
        <f t="shared" si="92"/>
        <v>Typical Angina</v>
      </c>
      <c r="R988" t="str">
        <f t="shared" si="93"/>
        <v>Normal</v>
      </c>
      <c r="S988" t="str">
        <f t="shared" si="94"/>
        <v>Yes</v>
      </c>
      <c r="T988" t="str" cm="1">
        <f t="array" ref="T988">_xlfn.IFS(A987&lt;30,"18-29",A987&lt;40,"30-39",A987&lt;50,"40-49",A987&lt;60,"50-59",A987&gt;=60,"60+")</f>
        <v>60+</v>
      </c>
      <c r="U988" t="str">
        <f t="shared" si="95"/>
        <v>High (Stage 2)</v>
      </c>
    </row>
    <row r="989" spans="1:21">
      <c r="A989">
        <v>57</v>
      </c>
      <c r="B989">
        <v>1</v>
      </c>
      <c r="C989">
        <v>1</v>
      </c>
      <c r="D989">
        <v>154</v>
      </c>
      <c r="E989">
        <v>232</v>
      </c>
      <c r="F989">
        <v>0</v>
      </c>
      <c r="G989">
        <v>0</v>
      </c>
      <c r="H989">
        <v>164</v>
      </c>
      <c r="I989">
        <v>0</v>
      </c>
      <c r="J989">
        <v>0</v>
      </c>
      <c r="K989">
        <v>2</v>
      </c>
      <c r="L989">
        <v>1</v>
      </c>
      <c r="M989">
        <v>2</v>
      </c>
      <c r="N989">
        <v>0</v>
      </c>
      <c r="O989" t="str">
        <f t="shared" si="90"/>
        <v>Male</v>
      </c>
      <c r="P989" t="str">
        <f t="shared" si="91"/>
        <v>No Disease</v>
      </c>
      <c r="Q989" t="str">
        <f t="shared" si="92"/>
        <v>Atypical Angina</v>
      </c>
      <c r="R989" t="str">
        <f t="shared" si="93"/>
        <v>Normal</v>
      </c>
      <c r="S989" t="str">
        <f t="shared" si="94"/>
        <v>No</v>
      </c>
      <c r="T989" t="str" cm="1">
        <f t="array" ref="T989">_xlfn.IFS(A988&lt;30,"18-29",A988&lt;40,"30-39",A988&lt;50,"40-49",A988&lt;60,"50-59",A988&gt;=60,"60+")</f>
        <v>50-59</v>
      </c>
      <c r="U989" t="str">
        <f t="shared" si="95"/>
        <v>High (Stage 2)</v>
      </c>
    </row>
    <row r="990" spans="1:21">
      <c r="A990">
        <v>60</v>
      </c>
      <c r="B990">
        <v>1</v>
      </c>
      <c r="C990">
        <v>0</v>
      </c>
      <c r="D990">
        <v>140</v>
      </c>
      <c r="E990">
        <v>293</v>
      </c>
      <c r="F990">
        <v>0</v>
      </c>
      <c r="G990">
        <v>0</v>
      </c>
      <c r="H990">
        <v>170</v>
      </c>
      <c r="I990">
        <v>0</v>
      </c>
      <c r="J990">
        <v>1.2</v>
      </c>
      <c r="K990">
        <v>1</v>
      </c>
      <c r="L990">
        <v>2</v>
      </c>
      <c r="M990">
        <v>3</v>
      </c>
      <c r="N990">
        <v>0</v>
      </c>
      <c r="O990" t="str">
        <f t="shared" si="90"/>
        <v>Male</v>
      </c>
      <c r="P990" t="str">
        <f t="shared" si="91"/>
        <v>No Disease</v>
      </c>
      <c r="Q990" t="str">
        <f t="shared" si="92"/>
        <v>Typical Angina</v>
      </c>
      <c r="R990" t="str">
        <f t="shared" si="93"/>
        <v>Normal</v>
      </c>
      <c r="S990" t="str">
        <f t="shared" si="94"/>
        <v>No</v>
      </c>
      <c r="T990" t="str" cm="1">
        <f t="array" ref="T990">_xlfn.IFS(A989&lt;30,"18-29",A989&lt;40,"30-39",A989&lt;50,"40-49",A989&lt;60,"50-59",A989&gt;=60,"60+")</f>
        <v>50-59</v>
      </c>
      <c r="U990" t="str">
        <f t="shared" si="95"/>
        <v>High (Stage 2)</v>
      </c>
    </row>
    <row r="991" spans="1:21">
      <c r="A991">
        <v>71</v>
      </c>
      <c r="B991">
        <v>0</v>
      </c>
      <c r="C991">
        <v>1</v>
      </c>
      <c r="D991">
        <v>160</v>
      </c>
      <c r="E991">
        <v>302</v>
      </c>
      <c r="F991">
        <v>0</v>
      </c>
      <c r="G991">
        <v>1</v>
      </c>
      <c r="H991">
        <v>162</v>
      </c>
      <c r="I991">
        <v>0</v>
      </c>
      <c r="J991">
        <v>0.4</v>
      </c>
      <c r="K991">
        <v>2</v>
      </c>
      <c r="L991">
        <v>2</v>
      </c>
      <c r="M991">
        <v>2</v>
      </c>
      <c r="N991">
        <v>1</v>
      </c>
      <c r="O991" t="str">
        <f t="shared" si="90"/>
        <v>Female</v>
      </c>
      <c r="P991" t="str">
        <f t="shared" si="91"/>
        <v>Heart Disease</v>
      </c>
      <c r="Q991" t="str">
        <f t="shared" si="92"/>
        <v>Atypical Angina</v>
      </c>
      <c r="R991" t="str">
        <f t="shared" si="93"/>
        <v>Normal</v>
      </c>
      <c r="S991" t="str">
        <f t="shared" si="94"/>
        <v>No</v>
      </c>
      <c r="T991" t="str" cm="1">
        <f t="array" ref="T991">_xlfn.IFS(A990&lt;30,"18-29",A990&lt;40,"30-39",A990&lt;50,"40-49",A990&lt;60,"50-59",A990&gt;=60,"60+")</f>
        <v>60+</v>
      </c>
      <c r="U991" t="str">
        <f t="shared" si="95"/>
        <v>High (Stage 2)</v>
      </c>
    </row>
    <row r="992" spans="1:21">
      <c r="A992">
        <v>56</v>
      </c>
      <c r="B992">
        <v>1</v>
      </c>
      <c r="C992">
        <v>1</v>
      </c>
      <c r="D992">
        <v>120</v>
      </c>
      <c r="E992">
        <v>236</v>
      </c>
      <c r="F992">
        <v>0</v>
      </c>
      <c r="G992">
        <v>1</v>
      </c>
      <c r="H992">
        <v>178</v>
      </c>
      <c r="I992">
        <v>0</v>
      </c>
      <c r="J992">
        <v>0.8</v>
      </c>
      <c r="K992">
        <v>2</v>
      </c>
      <c r="L992">
        <v>0</v>
      </c>
      <c r="M992">
        <v>2</v>
      </c>
      <c r="N992">
        <v>1</v>
      </c>
      <c r="O992" t="str">
        <f t="shared" si="90"/>
        <v>Male</v>
      </c>
      <c r="P992" t="str">
        <f t="shared" si="91"/>
        <v>Heart Disease</v>
      </c>
      <c r="Q992" t="str">
        <f t="shared" si="92"/>
        <v>Atypical Angina</v>
      </c>
      <c r="R992" t="str">
        <f t="shared" si="93"/>
        <v>Normal</v>
      </c>
      <c r="S992" t="str">
        <f t="shared" si="94"/>
        <v>No</v>
      </c>
      <c r="T992" t="str" cm="1">
        <f t="array" ref="T992">_xlfn.IFS(A991&lt;30,"18-29",A991&lt;40,"30-39",A991&lt;50,"40-49",A991&lt;60,"50-59",A991&gt;=60,"60+")</f>
        <v>60+</v>
      </c>
      <c r="U992" t="str">
        <f t="shared" si="95"/>
        <v>Elevated</v>
      </c>
    </row>
    <row r="993" spans="1:21">
      <c r="A993">
        <v>60</v>
      </c>
      <c r="B993">
        <v>1</v>
      </c>
      <c r="C993">
        <v>0</v>
      </c>
      <c r="D993">
        <v>117</v>
      </c>
      <c r="E993">
        <v>230</v>
      </c>
      <c r="F993">
        <v>1</v>
      </c>
      <c r="G993">
        <v>1</v>
      </c>
      <c r="H993">
        <v>160</v>
      </c>
      <c r="I993">
        <v>1</v>
      </c>
      <c r="J993">
        <v>1.4</v>
      </c>
      <c r="K993">
        <v>2</v>
      </c>
      <c r="L993">
        <v>2</v>
      </c>
      <c r="M993">
        <v>3</v>
      </c>
      <c r="N993">
        <v>0</v>
      </c>
      <c r="O993" t="str">
        <f t="shared" si="90"/>
        <v>Male</v>
      </c>
      <c r="P993" t="str">
        <f t="shared" si="91"/>
        <v>No Disease</v>
      </c>
      <c r="Q993" t="str">
        <f t="shared" si="92"/>
        <v>Typical Angina</v>
      </c>
      <c r="R993" t="str">
        <f t="shared" si="93"/>
        <v>High</v>
      </c>
      <c r="S993" t="str">
        <f t="shared" si="94"/>
        <v>Yes</v>
      </c>
      <c r="T993" t="str" cm="1">
        <f t="array" ref="T993">_xlfn.IFS(A992&lt;30,"18-29",A992&lt;40,"30-39",A992&lt;50,"40-49",A992&lt;60,"50-59",A992&gt;=60,"60+")</f>
        <v>50-59</v>
      </c>
      <c r="U993" t="str">
        <f t="shared" si="95"/>
        <v>Normal</v>
      </c>
    </row>
    <row r="994" spans="1:21">
      <c r="A994">
        <v>50</v>
      </c>
      <c r="B994">
        <v>0</v>
      </c>
      <c r="C994">
        <v>0</v>
      </c>
      <c r="D994">
        <v>110</v>
      </c>
      <c r="E994">
        <v>254</v>
      </c>
      <c r="F994">
        <v>0</v>
      </c>
      <c r="G994">
        <v>0</v>
      </c>
      <c r="H994">
        <v>159</v>
      </c>
      <c r="I994">
        <v>0</v>
      </c>
      <c r="J994">
        <v>0</v>
      </c>
      <c r="K994">
        <v>2</v>
      </c>
      <c r="L994">
        <v>0</v>
      </c>
      <c r="M994">
        <v>2</v>
      </c>
      <c r="N994">
        <v>1</v>
      </c>
      <c r="O994" t="str">
        <f t="shared" si="90"/>
        <v>Female</v>
      </c>
      <c r="P994" t="str">
        <f t="shared" si="91"/>
        <v>Heart Disease</v>
      </c>
      <c r="Q994" t="str">
        <f t="shared" si="92"/>
        <v>Typical Angina</v>
      </c>
      <c r="R994" t="str">
        <f t="shared" si="93"/>
        <v>Normal</v>
      </c>
      <c r="S994" t="str">
        <f t="shared" si="94"/>
        <v>No</v>
      </c>
      <c r="T994" t="str" cm="1">
        <f t="array" ref="T994">_xlfn.IFS(A993&lt;30,"18-29",A993&lt;40,"30-39",A993&lt;50,"40-49",A993&lt;60,"50-59",A993&gt;=60,"60+")</f>
        <v>60+</v>
      </c>
      <c r="U994" t="str">
        <f t="shared" si="95"/>
        <v>Normal</v>
      </c>
    </row>
    <row r="995" spans="1:21">
      <c r="A995">
        <v>43</v>
      </c>
      <c r="B995">
        <v>1</v>
      </c>
      <c r="C995">
        <v>0</v>
      </c>
      <c r="D995">
        <v>132</v>
      </c>
      <c r="E995">
        <v>247</v>
      </c>
      <c r="F995">
        <v>1</v>
      </c>
      <c r="G995">
        <v>0</v>
      </c>
      <c r="H995">
        <v>143</v>
      </c>
      <c r="I995">
        <v>1</v>
      </c>
      <c r="J995">
        <v>0.1</v>
      </c>
      <c r="K995">
        <v>1</v>
      </c>
      <c r="L995">
        <v>4</v>
      </c>
      <c r="M995">
        <v>3</v>
      </c>
      <c r="N995">
        <v>0</v>
      </c>
      <c r="O995" t="str">
        <f t="shared" si="90"/>
        <v>Male</v>
      </c>
      <c r="P995" t="str">
        <f t="shared" si="91"/>
        <v>No Disease</v>
      </c>
      <c r="Q995" t="str">
        <f t="shared" si="92"/>
        <v>Typical Angina</v>
      </c>
      <c r="R995" t="str">
        <f t="shared" si="93"/>
        <v>High</v>
      </c>
      <c r="S995" t="str">
        <f t="shared" si="94"/>
        <v>Yes</v>
      </c>
      <c r="T995" t="str" cm="1">
        <f t="array" ref="T995">_xlfn.IFS(A994&lt;30,"18-29",A994&lt;40,"30-39",A994&lt;50,"40-49",A994&lt;60,"50-59",A994&gt;=60,"60+")</f>
        <v>50-59</v>
      </c>
      <c r="U995" t="str">
        <f t="shared" si="95"/>
        <v>High (Stage 1)</v>
      </c>
    </row>
    <row r="996" spans="1:21">
      <c r="A996">
        <v>59</v>
      </c>
      <c r="B996">
        <v>1</v>
      </c>
      <c r="C996">
        <v>0</v>
      </c>
      <c r="D996">
        <v>110</v>
      </c>
      <c r="E996">
        <v>239</v>
      </c>
      <c r="F996">
        <v>0</v>
      </c>
      <c r="G996">
        <v>0</v>
      </c>
      <c r="H996">
        <v>142</v>
      </c>
      <c r="I996">
        <v>1</v>
      </c>
      <c r="J996">
        <v>1.2</v>
      </c>
      <c r="K996">
        <v>1</v>
      </c>
      <c r="L996">
        <v>1</v>
      </c>
      <c r="M996">
        <v>3</v>
      </c>
      <c r="N996">
        <v>0</v>
      </c>
      <c r="O996" t="str">
        <f t="shared" si="90"/>
        <v>Male</v>
      </c>
      <c r="P996" t="str">
        <f t="shared" si="91"/>
        <v>No Disease</v>
      </c>
      <c r="Q996" t="str">
        <f t="shared" si="92"/>
        <v>Typical Angina</v>
      </c>
      <c r="R996" t="str">
        <f t="shared" si="93"/>
        <v>Normal</v>
      </c>
      <c r="S996" t="str">
        <f t="shared" si="94"/>
        <v>Yes</v>
      </c>
      <c r="T996" t="str" cm="1">
        <f t="array" ref="T996">_xlfn.IFS(A995&lt;30,"18-29",A995&lt;40,"30-39",A995&lt;50,"40-49",A995&lt;60,"50-59",A995&gt;=60,"60+")</f>
        <v>40-49</v>
      </c>
      <c r="U996" t="str">
        <f t="shared" si="95"/>
        <v>Normal</v>
      </c>
    </row>
    <row r="997" spans="1:21">
      <c r="A997">
        <v>44</v>
      </c>
      <c r="B997">
        <v>1</v>
      </c>
      <c r="C997">
        <v>1</v>
      </c>
      <c r="D997">
        <v>120</v>
      </c>
      <c r="E997">
        <v>263</v>
      </c>
      <c r="F997">
        <v>0</v>
      </c>
      <c r="G997">
        <v>1</v>
      </c>
      <c r="H997">
        <v>173</v>
      </c>
      <c r="I997">
        <v>0</v>
      </c>
      <c r="J997">
        <v>0</v>
      </c>
      <c r="K997">
        <v>2</v>
      </c>
      <c r="L997">
        <v>0</v>
      </c>
      <c r="M997">
        <v>3</v>
      </c>
      <c r="N997">
        <v>1</v>
      </c>
      <c r="O997" t="str">
        <f t="shared" si="90"/>
        <v>Male</v>
      </c>
      <c r="P997" t="str">
        <f t="shared" si="91"/>
        <v>Heart Disease</v>
      </c>
      <c r="Q997" t="str">
        <f t="shared" si="92"/>
        <v>Atypical Angina</v>
      </c>
      <c r="R997" t="str">
        <f t="shared" si="93"/>
        <v>Normal</v>
      </c>
      <c r="S997" t="str">
        <f t="shared" si="94"/>
        <v>No</v>
      </c>
      <c r="T997" t="str" cm="1">
        <f t="array" ref="T997">_xlfn.IFS(A996&lt;30,"18-29",A996&lt;40,"30-39",A996&lt;50,"40-49",A996&lt;60,"50-59",A996&gt;=60,"60+")</f>
        <v>50-59</v>
      </c>
      <c r="U997" t="str">
        <f t="shared" si="95"/>
        <v>Elevated</v>
      </c>
    </row>
    <row r="998" spans="1:21">
      <c r="A998">
        <v>56</v>
      </c>
      <c r="B998">
        <v>0</v>
      </c>
      <c r="C998">
        <v>0</v>
      </c>
      <c r="D998">
        <v>134</v>
      </c>
      <c r="E998">
        <v>409</v>
      </c>
      <c r="F998">
        <v>0</v>
      </c>
      <c r="G998">
        <v>0</v>
      </c>
      <c r="H998">
        <v>150</v>
      </c>
      <c r="I998">
        <v>1</v>
      </c>
      <c r="J998">
        <v>1.9</v>
      </c>
      <c r="K998">
        <v>1</v>
      </c>
      <c r="L998">
        <v>2</v>
      </c>
      <c r="M998">
        <v>3</v>
      </c>
      <c r="N998">
        <v>0</v>
      </c>
      <c r="O998" t="str">
        <f t="shared" si="90"/>
        <v>Female</v>
      </c>
      <c r="P998" t="str">
        <f t="shared" si="91"/>
        <v>No Disease</v>
      </c>
      <c r="Q998" t="str">
        <f t="shared" si="92"/>
        <v>Typical Angina</v>
      </c>
      <c r="R998" t="str">
        <f t="shared" si="93"/>
        <v>Normal</v>
      </c>
      <c r="S998" t="str">
        <f t="shared" si="94"/>
        <v>Yes</v>
      </c>
      <c r="T998" t="str" cm="1">
        <f t="array" ref="T998">_xlfn.IFS(A997&lt;30,"18-29",A997&lt;40,"30-39",A997&lt;50,"40-49",A997&lt;60,"50-59",A997&gt;=60,"60+")</f>
        <v>40-49</v>
      </c>
      <c r="U998" t="str">
        <f t="shared" si="95"/>
        <v>High (Stage 1)</v>
      </c>
    </row>
    <row r="999" spans="1:21">
      <c r="A999">
        <v>54</v>
      </c>
      <c r="B999">
        <v>1</v>
      </c>
      <c r="C999">
        <v>0</v>
      </c>
      <c r="D999">
        <v>120</v>
      </c>
      <c r="E999">
        <v>188</v>
      </c>
      <c r="F999">
        <v>0</v>
      </c>
      <c r="G999">
        <v>1</v>
      </c>
      <c r="H999">
        <v>113</v>
      </c>
      <c r="I999">
        <v>0</v>
      </c>
      <c r="J999">
        <v>1.4</v>
      </c>
      <c r="K999">
        <v>1</v>
      </c>
      <c r="L999">
        <v>1</v>
      </c>
      <c r="M999">
        <v>3</v>
      </c>
      <c r="N999">
        <v>0</v>
      </c>
      <c r="O999" t="str">
        <f t="shared" si="90"/>
        <v>Male</v>
      </c>
      <c r="P999" t="str">
        <f t="shared" si="91"/>
        <v>No Disease</v>
      </c>
      <c r="Q999" t="str">
        <f t="shared" si="92"/>
        <v>Typical Angina</v>
      </c>
      <c r="R999" t="str">
        <f t="shared" si="93"/>
        <v>Normal</v>
      </c>
      <c r="S999" t="str">
        <f t="shared" si="94"/>
        <v>No</v>
      </c>
      <c r="T999" t="str" cm="1">
        <f t="array" ref="T999">_xlfn.IFS(A998&lt;30,"18-29",A998&lt;40,"30-39",A998&lt;50,"40-49",A998&lt;60,"50-59",A998&gt;=60,"60+")</f>
        <v>50-59</v>
      </c>
      <c r="U999" t="str">
        <f t="shared" si="95"/>
        <v>Elevated</v>
      </c>
    </row>
    <row r="1000" spans="1:21">
      <c r="A1000">
        <v>42</v>
      </c>
      <c r="B1000">
        <v>1</v>
      </c>
      <c r="C1000">
        <v>0</v>
      </c>
      <c r="D1000">
        <v>136</v>
      </c>
      <c r="E1000">
        <v>315</v>
      </c>
      <c r="F1000">
        <v>0</v>
      </c>
      <c r="G1000">
        <v>1</v>
      </c>
      <c r="H1000">
        <v>125</v>
      </c>
      <c r="I1000">
        <v>1</v>
      </c>
      <c r="J1000">
        <v>1.8</v>
      </c>
      <c r="K1000">
        <v>1</v>
      </c>
      <c r="L1000">
        <v>0</v>
      </c>
      <c r="M1000">
        <v>1</v>
      </c>
      <c r="N1000">
        <v>0</v>
      </c>
      <c r="O1000" t="str">
        <f t="shared" si="90"/>
        <v>Male</v>
      </c>
      <c r="P1000" t="str">
        <f t="shared" si="91"/>
        <v>No Disease</v>
      </c>
      <c r="Q1000" t="str">
        <f t="shared" si="92"/>
        <v>Typical Angina</v>
      </c>
      <c r="R1000" t="str">
        <f t="shared" si="93"/>
        <v>Normal</v>
      </c>
      <c r="S1000" t="str">
        <f t="shared" si="94"/>
        <v>Yes</v>
      </c>
      <c r="T1000" t="str" cm="1">
        <f t="array" ref="T1000">_xlfn.IFS(A999&lt;30,"18-29",A999&lt;40,"30-39",A999&lt;50,"40-49",A999&lt;60,"50-59",A999&gt;=60,"60+")</f>
        <v>50-59</v>
      </c>
      <c r="U1000" t="str">
        <f t="shared" si="95"/>
        <v>High (Stage 1)</v>
      </c>
    </row>
    <row r="1001" spans="1:21">
      <c r="A1001">
        <v>67</v>
      </c>
      <c r="B1001">
        <v>1</v>
      </c>
      <c r="C1001">
        <v>0</v>
      </c>
      <c r="D1001">
        <v>125</v>
      </c>
      <c r="E1001">
        <v>254</v>
      </c>
      <c r="F1001">
        <v>1</v>
      </c>
      <c r="G1001">
        <v>1</v>
      </c>
      <c r="H1001">
        <v>163</v>
      </c>
      <c r="I1001">
        <v>0</v>
      </c>
      <c r="J1001">
        <v>0.2</v>
      </c>
      <c r="K1001">
        <v>1</v>
      </c>
      <c r="L1001">
        <v>2</v>
      </c>
      <c r="M1001">
        <v>3</v>
      </c>
      <c r="N1001">
        <v>0</v>
      </c>
      <c r="O1001" t="str">
        <f t="shared" si="90"/>
        <v>Male</v>
      </c>
      <c r="P1001" t="str">
        <f t="shared" si="91"/>
        <v>No Disease</v>
      </c>
      <c r="Q1001" t="str">
        <f t="shared" si="92"/>
        <v>Typical Angina</v>
      </c>
      <c r="R1001" t="str">
        <f t="shared" si="93"/>
        <v>High</v>
      </c>
      <c r="S1001" t="str">
        <f t="shared" si="94"/>
        <v>No</v>
      </c>
      <c r="T1001" t="str" cm="1">
        <f t="array" ref="T1001">_xlfn.IFS(A1000&lt;30,"18-29",A1000&lt;40,"30-39",A1000&lt;50,"40-49",A1000&lt;60,"50-59",A1000&gt;=60,"60+")</f>
        <v>40-49</v>
      </c>
      <c r="U1001" t="str">
        <f t="shared" si="95"/>
        <v>Elevated</v>
      </c>
    </row>
    <row r="1002" spans="1:21">
      <c r="A1002">
        <v>64</v>
      </c>
      <c r="B1002">
        <v>1</v>
      </c>
      <c r="C1002">
        <v>0</v>
      </c>
      <c r="D1002">
        <v>145</v>
      </c>
      <c r="E1002">
        <v>212</v>
      </c>
      <c r="F1002">
        <v>0</v>
      </c>
      <c r="G1002">
        <v>0</v>
      </c>
      <c r="H1002">
        <v>132</v>
      </c>
      <c r="I1002">
        <v>0</v>
      </c>
      <c r="J1002">
        <v>2</v>
      </c>
      <c r="K1002">
        <v>1</v>
      </c>
      <c r="L1002">
        <v>2</v>
      </c>
      <c r="M1002">
        <v>1</v>
      </c>
      <c r="N1002">
        <v>0</v>
      </c>
      <c r="O1002" t="str">
        <f t="shared" si="90"/>
        <v>Male</v>
      </c>
      <c r="P1002" t="str">
        <f t="shared" si="91"/>
        <v>No Disease</v>
      </c>
      <c r="Q1002" t="str">
        <f t="shared" si="92"/>
        <v>Typical Angina</v>
      </c>
      <c r="R1002" t="str">
        <f t="shared" si="93"/>
        <v>Normal</v>
      </c>
      <c r="S1002" t="str">
        <f t="shared" si="94"/>
        <v>No</v>
      </c>
      <c r="T1002" t="str" cm="1">
        <f t="array" ref="T1002">_xlfn.IFS(A1001&lt;30,"18-29",A1001&lt;40,"30-39",A1001&lt;50,"40-49",A1001&lt;60,"50-59",A1001&gt;=60,"60+")</f>
        <v>60+</v>
      </c>
      <c r="U1002" t="str">
        <f t="shared" si="95"/>
        <v>High (Stage 2)</v>
      </c>
    </row>
    <row r="1003" spans="1:21">
      <c r="A1003">
        <v>42</v>
      </c>
      <c r="B1003">
        <v>1</v>
      </c>
      <c r="C1003">
        <v>0</v>
      </c>
      <c r="D1003">
        <v>140</v>
      </c>
      <c r="E1003">
        <v>226</v>
      </c>
      <c r="F1003">
        <v>0</v>
      </c>
      <c r="G1003">
        <v>1</v>
      </c>
      <c r="H1003">
        <v>178</v>
      </c>
      <c r="I1003">
        <v>0</v>
      </c>
      <c r="J1003">
        <v>0</v>
      </c>
      <c r="K1003">
        <v>2</v>
      </c>
      <c r="L1003">
        <v>0</v>
      </c>
      <c r="M1003">
        <v>2</v>
      </c>
      <c r="N1003">
        <v>1</v>
      </c>
      <c r="O1003" t="str">
        <f t="shared" si="90"/>
        <v>Male</v>
      </c>
      <c r="P1003" t="str">
        <f t="shared" si="91"/>
        <v>Heart Disease</v>
      </c>
      <c r="Q1003" t="str">
        <f t="shared" si="92"/>
        <v>Typical Angina</v>
      </c>
      <c r="R1003" t="str">
        <f t="shared" si="93"/>
        <v>Normal</v>
      </c>
      <c r="S1003" t="str">
        <f t="shared" si="94"/>
        <v>No</v>
      </c>
      <c r="T1003" t="str" cm="1">
        <f t="array" ref="T1003">_xlfn.IFS(A1002&lt;30,"18-29",A1002&lt;40,"30-39",A1002&lt;50,"40-49",A1002&lt;60,"50-59",A1002&gt;=60,"60+")</f>
        <v>60+</v>
      </c>
      <c r="U1003" t="str">
        <f t="shared" si="95"/>
        <v>High (Stage 2)</v>
      </c>
    </row>
    <row r="1004" spans="1:21">
      <c r="A1004">
        <v>66</v>
      </c>
      <c r="B1004">
        <v>1</v>
      </c>
      <c r="C1004">
        <v>0</v>
      </c>
      <c r="D1004">
        <v>112</v>
      </c>
      <c r="E1004">
        <v>212</v>
      </c>
      <c r="F1004">
        <v>0</v>
      </c>
      <c r="G1004">
        <v>0</v>
      </c>
      <c r="H1004">
        <v>132</v>
      </c>
      <c r="I1004">
        <v>1</v>
      </c>
      <c r="J1004">
        <v>0.1</v>
      </c>
      <c r="K1004">
        <v>2</v>
      </c>
      <c r="L1004">
        <v>1</v>
      </c>
      <c r="M1004">
        <v>2</v>
      </c>
      <c r="N1004">
        <v>0</v>
      </c>
      <c r="O1004" t="str">
        <f t="shared" si="90"/>
        <v>Male</v>
      </c>
      <c r="P1004" t="str">
        <f t="shared" si="91"/>
        <v>No Disease</v>
      </c>
      <c r="Q1004" t="str">
        <f t="shared" si="92"/>
        <v>Typical Angina</v>
      </c>
      <c r="R1004" t="str">
        <f t="shared" si="93"/>
        <v>Normal</v>
      </c>
      <c r="S1004" t="str">
        <f t="shared" si="94"/>
        <v>Yes</v>
      </c>
      <c r="T1004" t="str" cm="1">
        <f t="array" ref="T1004">_xlfn.IFS(A1003&lt;30,"18-29",A1003&lt;40,"30-39",A1003&lt;50,"40-49",A1003&lt;60,"50-59",A1003&gt;=60,"60+")</f>
        <v>40-49</v>
      </c>
      <c r="U1004" t="str">
        <f t="shared" si="95"/>
        <v>Normal</v>
      </c>
    </row>
    <row r="1005" spans="1:21">
      <c r="A1005">
        <v>52</v>
      </c>
      <c r="B1005">
        <v>1</v>
      </c>
      <c r="C1005">
        <v>0</v>
      </c>
      <c r="D1005">
        <v>108</v>
      </c>
      <c r="E1005">
        <v>233</v>
      </c>
      <c r="F1005">
        <v>1</v>
      </c>
      <c r="G1005">
        <v>1</v>
      </c>
      <c r="H1005">
        <v>147</v>
      </c>
      <c r="I1005">
        <v>0</v>
      </c>
      <c r="J1005">
        <v>0.1</v>
      </c>
      <c r="K1005">
        <v>2</v>
      </c>
      <c r="L1005">
        <v>3</v>
      </c>
      <c r="M1005">
        <v>3</v>
      </c>
      <c r="N1005">
        <v>1</v>
      </c>
      <c r="O1005" t="str">
        <f t="shared" si="90"/>
        <v>Male</v>
      </c>
      <c r="P1005" t="str">
        <f t="shared" si="91"/>
        <v>Heart Disease</v>
      </c>
      <c r="Q1005" t="str">
        <f t="shared" si="92"/>
        <v>Typical Angina</v>
      </c>
      <c r="R1005" t="str">
        <f t="shared" si="93"/>
        <v>High</v>
      </c>
      <c r="S1005" t="str">
        <f t="shared" si="94"/>
        <v>No</v>
      </c>
      <c r="T1005" t="str" cm="1">
        <f t="array" ref="T1005">_xlfn.IFS(A1004&lt;30,"18-29",A1004&lt;40,"30-39",A1004&lt;50,"40-49",A1004&lt;60,"50-59",A1004&gt;=60,"60+")</f>
        <v>60+</v>
      </c>
      <c r="U1005" t="str">
        <f t="shared" si="95"/>
        <v>Normal</v>
      </c>
    </row>
    <row r="1006" spans="1:21">
      <c r="A1006">
        <v>51</v>
      </c>
      <c r="B1006">
        <v>0</v>
      </c>
      <c r="C1006">
        <v>2</v>
      </c>
      <c r="D1006">
        <v>140</v>
      </c>
      <c r="E1006">
        <v>308</v>
      </c>
      <c r="F1006">
        <v>0</v>
      </c>
      <c r="G1006">
        <v>0</v>
      </c>
      <c r="H1006">
        <v>142</v>
      </c>
      <c r="I1006">
        <v>0</v>
      </c>
      <c r="J1006">
        <v>1.5</v>
      </c>
      <c r="K1006">
        <v>2</v>
      </c>
      <c r="L1006">
        <v>1</v>
      </c>
      <c r="M1006">
        <v>2</v>
      </c>
      <c r="N1006">
        <v>1</v>
      </c>
      <c r="O1006" t="str">
        <f t="shared" si="90"/>
        <v>Female</v>
      </c>
      <c r="P1006" t="str">
        <f t="shared" si="91"/>
        <v>Heart Disease</v>
      </c>
      <c r="Q1006" t="str">
        <f t="shared" si="92"/>
        <v>Non-Anginal Pain</v>
      </c>
      <c r="R1006" t="str">
        <f t="shared" si="93"/>
        <v>Normal</v>
      </c>
      <c r="S1006" t="str">
        <f t="shared" si="94"/>
        <v>No</v>
      </c>
      <c r="T1006" t="str" cm="1">
        <f t="array" ref="T1006">_xlfn.IFS(A1005&lt;30,"18-29",A1005&lt;40,"30-39",A1005&lt;50,"40-49",A1005&lt;60,"50-59",A1005&gt;=60,"60+")</f>
        <v>50-59</v>
      </c>
      <c r="U1006" t="str">
        <f t="shared" si="95"/>
        <v>High (Stage 2)</v>
      </c>
    </row>
    <row r="1007" spans="1:21">
      <c r="A1007">
        <v>55</v>
      </c>
      <c r="B1007">
        <v>0</v>
      </c>
      <c r="C1007">
        <v>0</v>
      </c>
      <c r="D1007">
        <v>128</v>
      </c>
      <c r="E1007">
        <v>205</v>
      </c>
      <c r="F1007">
        <v>0</v>
      </c>
      <c r="G1007">
        <v>2</v>
      </c>
      <c r="H1007">
        <v>130</v>
      </c>
      <c r="I1007">
        <v>1</v>
      </c>
      <c r="J1007">
        <v>2</v>
      </c>
      <c r="K1007">
        <v>1</v>
      </c>
      <c r="L1007">
        <v>1</v>
      </c>
      <c r="M1007">
        <v>3</v>
      </c>
      <c r="N1007">
        <v>0</v>
      </c>
      <c r="O1007" t="str">
        <f t="shared" si="90"/>
        <v>Female</v>
      </c>
      <c r="P1007" t="str">
        <f t="shared" si="91"/>
        <v>No Disease</v>
      </c>
      <c r="Q1007" t="str">
        <f t="shared" si="92"/>
        <v>Typical Angina</v>
      </c>
      <c r="R1007" t="str">
        <f t="shared" si="93"/>
        <v>Normal</v>
      </c>
      <c r="S1007" t="str">
        <f t="shared" si="94"/>
        <v>Yes</v>
      </c>
      <c r="T1007" t="str" cm="1">
        <f t="array" ref="T1007">_xlfn.IFS(A1006&lt;30,"18-29",A1006&lt;40,"30-39",A1006&lt;50,"40-49",A1006&lt;60,"50-59",A1006&gt;=60,"60+")</f>
        <v>50-59</v>
      </c>
      <c r="U1007" t="str">
        <f t="shared" si="95"/>
        <v>Elevated</v>
      </c>
    </row>
    <row r="1008" spans="1:21">
      <c r="A1008">
        <v>58</v>
      </c>
      <c r="B1008">
        <v>1</v>
      </c>
      <c r="C1008">
        <v>2</v>
      </c>
      <c r="D1008">
        <v>140</v>
      </c>
      <c r="E1008">
        <v>211</v>
      </c>
      <c r="F1008">
        <v>1</v>
      </c>
      <c r="G1008">
        <v>0</v>
      </c>
      <c r="H1008">
        <v>165</v>
      </c>
      <c r="I1008">
        <v>0</v>
      </c>
      <c r="J1008">
        <v>0</v>
      </c>
      <c r="K1008">
        <v>2</v>
      </c>
      <c r="L1008">
        <v>0</v>
      </c>
      <c r="M1008">
        <v>2</v>
      </c>
      <c r="N1008">
        <v>1</v>
      </c>
      <c r="O1008" t="str">
        <f t="shared" si="90"/>
        <v>Male</v>
      </c>
      <c r="P1008" t="str">
        <f t="shared" si="91"/>
        <v>Heart Disease</v>
      </c>
      <c r="Q1008" t="str">
        <f t="shared" si="92"/>
        <v>Non-Anginal Pain</v>
      </c>
      <c r="R1008" t="str">
        <f t="shared" si="93"/>
        <v>High</v>
      </c>
      <c r="S1008" t="str">
        <f t="shared" si="94"/>
        <v>No</v>
      </c>
      <c r="T1008" t="str" cm="1">
        <f t="array" ref="T1008">_xlfn.IFS(A1007&lt;30,"18-29",A1007&lt;40,"30-39",A1007&lt;50,"40-49",A1007&lt;60,"50-59",A1007&gt;=60,"60+")</f>
        <v>50-59</v>
      </c>
      <c r="U1008" t="str">
        <f t="shared" si="95"/>
        <v>High (Stage 2)</v>
      </c>
    </row>
    <row r="1009" spans="1:21">
      <c r="A1009">
        <v>56</v>
      </c>
      <c r="B1009">
        <v>1</v>
      </c>
      <c r="C1009">
        <v>3</v>
      </c>
      <c r="D1009">
        <v>120</v>
      </c>
      <c r="E1009">
        <v>193</v>
      </c>
      <c r="F1009">
        <v>0</v>
      </c>
      <c r="G1009">
        <v>0</v>
      </c>
      <c r="H1009">
        <v>162</v>
      </c>
      <c r="I1009">
        <v>0</v>
      </c>
      <c r="J1009">
        <v>1.9</v>
      </c>
      <c r="K1009">
        <v>1</v>
      </c>
      <c r="L1009">
        <v>0</v>
      </c>
      <c r="M1009">
        <v>3</v>
      </c>
      <c r="N1009">
        <v>1</v>
      </c>
      <c r="O1009" t="str">
        <f t="shared" si="90"/>
        <v>Male</v>
      </c>
      <c r="P1009" t="str">
        <f t="shared" si="91"/>
        <v>Heart Disease</v>
      </c>
      <c r="Q1009" t="str">
        <f t="shared" si="92"/>
        <v>Asymptomatic</v>
      </c>
      <c r="R1009" t="str">
        <f t="shared" si="93"/>
        <v>Normal</v>
      </c>
      <c r="S1009" t="str">
        <f t="shared" si="94"/>
        <v>No</v>
      </c>
      <c r="T1009" t="str" cm="1">
        <f t="array" ref="T1009">_xlfn.IFS(A1008&lt;30,"18-29",A1008&lt;40,"30-39",A1008&lt;50,"40-49",A1008&lt;60,"50-59",A1008&gt;=60,"60+")</f>
        <v>50-59</v>
      </c>
      <c r="U1009" t="str">
        <f t="shared" si="95"/>
        <v>Elevated</v>
      </c>
    </row>
    <row r="1010" spans="1:21">
      <c r="A1010">
        <v>42</v>
      </c>
      <c r="B1010">
        <v>1</v>
      </c>
      <c r="C1010">
        <v>1</v>
      </c>
      <c r="D1010">
        <v>120</v>
      </c>
      <c r="E1010">
        <v>295</v>
      </c>
      <c r="F1010">
        <v>0</v>
      </c>
      <c r="G1010">
        <v>1</v>
      </c>
      <c r="H1010">
        <v>162</v>
      </c>
      <c r="I1010">
        <v>0</v>
      </c>
      <c r="J1010">
        <v>0</v>
      </c>
      <c r="K1010">
        <v>2</v>
      </c>
      <c r="L1010">
        <v>0</v>
      </c>
      <c r="M1010">
        <v>2</v>
      </c>
      <c r="N1010">
        <v>1</v>
      </c>
      <c r="O1010" t="str">
        <f t="shared" si="90"/>
        <v>Male</v>
      </c>
      <c r="P1010" t="str">
        <f t="shared" si="91"/>
        <v>Heart Disease</v>
      </c>
      <c r="Q1010" t="str">
        <f t="shared" si="92"/>
        <v>Atypical Angina</v>
      </c>
      <c r="R1010" t="str">
        <f t="shared" si="93"/>
        <v>Normal</v>
      </c>
      <c r="S1010" t="str">
        <f t="shared" si="94"/>
        <v>No</v>
      </c>
      <c r="T1010" t="str" cm="1">
        <f t="array" ref="T1010">_xlfn.IFS(A1009&lt;30,"18-29",A1009&lt;40,"30-39",A1009&lt;50,"40-49",A1009&lt;60,"50-59",A1009&gt;=60,"60+")</f>
        <v>50-59</v>
      </c>
      <c r="U1010" t="str">
        <f t="shared" si="95"/>
        <v>Elevated</v>
      </c>
    </row>
    <row r="1011" spans="1:21">
      <c r="A1011">
        <v>40</v>
      </c>
      <c r="B1011">
        <v>1</v>
      </c>
      <c r="C1011">
        <v>0</v>
      </c>
      <c r="D1011">
        <v>152</v>
      </c>
      <c r="E1011">
        <v>223</v>
      </c>
      <c r="F1011">
        <v>0</v>
      </c>
      <c r="G1011">
        <v>1</v>
      </c>
      <c r="H1011">
        <v>181</v>
      </c>
      <c r="I1011">
        <v>0</v>
      </c>
      <c r="J1011">
        <v>0</v>
      </c>
      <c r="K1011">
        <v>2</v>
      </c>
      <c r="L1011">
        <v>0</v>
      </c>
      <c r="M1011">
        <v>3</v>
      </c>
      <c r="N1011">
        <v>0</v>
      </c>
      <c r="O1011" t="str">
        <f t="shared" si="90"/>
        <v>Male</v>
      </c>
      <c r="P1011" t="str">
        <f t="shared" si="91"/>
        <v>No Disease</v>
      </c>
      <c r="Q1011" t="str">
        <f t="shared" si="92"/>
        <v>Typical Angina</v>
      </c>
      <c r="R1011" t="str">
        <f t="shared" si="93"/>
        <v>Normal</v>
      </c>
      <c r="S1011" t="str">
        <f t="shared" si="94"/>
        <v>No</v>
      </c>
      <c r="T1011" t="str" cm="1">
        <f t="array" ref="T1011">_xlfn.IFS(A1010&lt;30,"18-29",A1010&lt;40,"30-39",A1010&lt;50,"40-49",A1010&lt;60,"50-59",A1010&gt;=60,"60+")</f>
        <v>40-49</v>
      </c>
      <c r="U1011" t="str">
        <f t="shared" si="95"/>
        <v>High (Stage 2)</v>
      </c>
    </row>
    <row r="1012" spans="1:21">
      <c r="A1012">
        <v>51</v>
      </c>
      <c r="B1012">
        <v>1</v>
      </c>
      <c r="C1012">
        <v>0</v>
      </c>
      <c r="D1012">
        <v>140</v>
      </c>
      <c r="E1012">
        <v>299</v>
      </c>
      <c r="F1012">
        <v>0</v>
      </c>
      <c r="G1012">
        <v>1</v>
      </c>
      <c r="H1012">
        <v>173</v>
      </c>
      <c r="I1012">
        <v>1</v>
      </c>
      <c r="J1012">
        <v>1.6</v>
      </c>
      <c r="K1012">
        <v>2</v>
      </c>
      <c r="L1012">
        <v>0</v>
      </c>
      <c r="M1012">
        <v>3</v>
      </c>
      <c r="N1012">
        <v>0</v>
      </c>
      <c r="O1012" t="str">
        <f t="shared" si="90"/>
        <v>Male</v>
      </c>
      <c r="P1012" t="str">
        <f t="shared" si="91"/>
        <v>No Disease</v>
      </c>
      <c r="Q1012" t="str">
        <f t="shared" si="92"/>
        <v>Typical Angina</v>
      </c>
      <c r="R1012" t="str">
        <f t="shared" si="93"/>
        <v>Normal</v>
      </c>
      <c r="S1012" t="str">
        <f t="shared" si="94"/>
        <v>Yes</v>
      </c>
      <c r="T1012" t="str" cm="1">
        <f t="array" ref="T1012">_xlfn.IFS(A1011&lt;30,"18-29",A1011&lt;40,"30-39",A1011&lt;50,"40-49",A1011&lt;60,"50-59",A1011&gt;=60,"60+")</f>
        <v>40-49</v>
      </c>
      <c r="U1012" t="str">
        <f t="shared" si="95"/>
        <v>High (Stage 2)</v>
      </c>
    </row>
    <row r="1013" spans="1:21">
      <c r="A1013">
        <v>45</v>
      </c>
      <c r="B1013">
        <v>1</v>
      </c>
      <c r="C1013">
        <v>1</v>
      </c>
      <c r="D1013">
        <v>128</v>
      </c>
      <c r="E1013">
        <v>308</v>
      </c>
      <c r="F1013">
        <v>0</v>
      </c>
      <c r="G1013">
        <v>0</v>
      </c>
      <c r="H1013">
        <v>170</v>
      </c>
      <c r="I1013">
        <v>0</v>
      </c>
      <c r="J1013">
        <v>0</v>
      </c>
      <c r="K1013">
        <v>2</v>
      </c>
      <c r="L1013">
        <v>0</v>
      </c>
      <c r="M1013">
        <v>2</v>
      </c>
      <c r="N1013">
        <v>1</v>
      </c>
      <c r="O1013" t="str">
        <f t="shared" si="90"/>
        <v>Male</v>
      </c>
      <c r="P1013" t="str">
        <f t="shared" si="91"/>
        <v>Heart Disease</v>
      </c>
      <c r="Q1013" t="str">
        <f t="shared" si="92"/>
        <v>Atypical Angina</v>
      </c>
      <c r="R1013" t="str">
        <f t="shared" si="93"/>
        <v>Normal</v>
      </c>
      <c r="S1013" t="str">
        <f t="shared" si="94"/>
        <v>No</v>
      </c>
      <c r="T1013" t="str" cm="1">
        <f t="array" ref="T1013">_xlfn.IFS(A1012&lt;30,"18-29",A1012&lt;40,"30-39",A1012&lt;50,"40-49",A1012&lt;60,"50-59",A1012&gt;=60,"60+")</f>
        <v>50-59</v>
      </c>
      <c r="U1013" t="str">
        <f t="shared" si="95"/>
        <v>Elevated</v>
      </c>
    </row>
    <row r="1014" spans="1:21">
      <c r="A1014">
        <v>48</v>
      </c>
      <c r="B1014">
        <v>1</v>
      </c>
      <c r="C1014">
        <v>1</v>
      </c>
      <c r="D1014">
        <v>110</v>
      </c>
      <c r="E1014">
        <v>229</v>
      </c>
      <c r="F1014">
        <v>0</v>
      </c>
      <c r="G1014">
        <v>1</v>
      </c>
      <c r="H1014">
        <v>168</v>
      </c>
      <c r="I1014">
        <v>0</v>
      </c>
      <c r="J1014">
        <v>1</v>
      </c>
      <c r="K1014">
        <v>0</v>
      </c>
      <c r="L1014">
        <v>0</v>
      </c>
      <c r="M1014">
        <v>3</v>
      </c>
      <c r="N1014">
        <v>0</v>
      </c>
      <c r="O1014" t="str">
        <f t="shared" si="90"/>
        <v>Male</v>
      </c>
      <c r="P1014" t="str">
        <f t="shared" si="91"/>
        <v>No Disease</v>
      </c>
      <c r="Q1014" t="str">
        <f t="shared" si="92"/>
        <v>Atypical Angina</v>
      </c>
      <c r="R1014" t="str">
        <f t="shared" si="93"/>
        <v>Normal</v>
      </c>
      <c r="S1014" t="str">
        <f t="shared" si="94"/>
        <v>No</v>
      </c>
      <c r="T1014" t="str" cm="1">
        <f t="array" ref="T1014">_xlfn.IFS(A1013&lt;30,"18-29",A1013&lt;40,"30-39",A1013&lt;50,"40-49",A1013&lt;60,"50-59",A1013&gt;=60,"60+")</f>
        <v>40-49</v>
      </c>
      <c r="U1014" t="str">
        <f t="shared" si="95"/>
        <v>Normal</v>
      </c>
    </row>
    <row r="1015" spans="1:21">
      <c r="A1015">
        <v>58</v>
      </c>
      <c r="B1015">
        <v>1</v>
      </c>
      <c r="C1015">
        <v>0</v>
      </c>
      <c r="D1015">
        <v>114</v>
      </c>
      <c r="E1015">
        <v>318</v>
      </c>
      <c r="F1015">
        <v>0</v>
      </c>
      <c r="G1015">
        <v>2</v>
      </c>
      <c r="H1015">
        <v>140</v>
      </c>
      <c r="I1015">
        <v>0</v>
      </c>
      <c r="J1015">
        <v>4.4000000000000004</v>
      </c>
      <c r="K1015">
        <v>0</v>
      </c>
      <c r="L1015">
        <v>3</v>
      </c>
      <c r="M1015">
        <v>1</v>
      </c>
      <c r="N1015">
        <v>0</v>
      </c>
      <c r="O1015" t="str">
        <f t="shared" si="90"/>
        <v>Male</v>
      </c>
      <c r="P1015" t="str">
        <f t="shared" si="91"/>
        <v>No Disease</v>
      </c>
      <c r="Q1015" t="str">
        <f t="shared" si="92"/>
        <v>Typical Angina</v>
      </c>
      <c r="R1015" t="str">
        <f t="shared" si="93"/>
        <v>Normal</v>
      </c>
      <c r="S1015" t="str">
        <f t="shared" si="94"/>
        <v>No</v>
      </c>
      <c r="T1015" t="str" cm="1">
        <f t="array" ref="T1015">_xlfn.IFS(A1014&lt;30,"18-29",A1014&lt;40,"30-39",A1014&lt;50,"40-49",A1014&lt;60,"50-59",A1014&gt;=60,"60+")</f>
        <v>40-49</v>
      </c>
      <c r="U1015" t="str">
        <f t="shared" si="95"/>
        <v>Normal</v>
      </c>
    </row>
    <row r="1016" spans="1:21">
      <c r="A1016">
        <v>44</v>
      </c>
      <c r="B1016">
        <v>0</v>
      </c>
      <c r="C1016">
        <v>2</v>
      </c>
      <c r="D1016">
        <v>108</v>
      </c>
      <c r="E1016">
        <v>141</v>
      </c>
      <c r="F1016">
        <v>0</v>
      </c>
      <c r="G1016">
        <v>1</v>
      </c>
      <c r="H1016">
        <v>175</v>
      </c>
      <c r="I1016">
        <v>0</v>
      </c>
      <c r="J1016">
        <v>0.6</v>
      </c>
      <c r="K1016">
        <v>1</v>
      </c>
      <c r="L1016">
        <v>0</v>
      </c>
      <c r="M1016">
        <v>2</v>
      </c>
      <c r="N1016">
        <v>1</v>
      </c>
      <c r="O1016" t="str">
        <f t="shared" si="90"/>
        <v>Female</v>
      </c>
      <c r="P1016" t="str">
        <f t="shared" si="91"/>
        <v>Heart Disease</v>
      </c>
      <c r="Q1016" t="str">
        <f t="shared" si="92"/>
        <v>Non-Anginal Pain</v>
      </c>
      <c r="R1016" t="str">
        <f t="shared" si="93"/>
        <v>Normal</v>
      </c>
      <c r="S1016" t="str">
        <f t="shared" si="94"/>
        <v>No</v>
      </c>
      <c r="T1016" t="str" cm="1">
        <f t="array" ref="T1016">_xlfn.IFS(A1015&lt;30,"18-29",A1015&lt;40,"30-39",A1015&lt;50,"40-49",A1015&lt;60,"50-59",A1015&gt;=60,"60+")</f>
        <v>50-59</v>
      </c>
      <c r="U1016" t="str">
        <f t="shared" si="95"/>
        <v>Normal</v>
      </c>
    </row>
    <row r="1017" spans="1:21">
      <c r="A1017">
        <v>58</v>
      </c>
      <c r="B1017">
        <v>1</v>
      </c>
      <c r="C1017">
        <v>0</v>
      </c>
      <c r="D1017">
        <v>128</v>
      </c>
      <c r="E1017">
        <v>216</v>
      </c>
      <c r="F1017">
        <v>0</v>
      </c>
      <c r="G1017">
        <v>0</v>
      </c>
      <c r="H1017">
        <v>131</v>
      </c>
      <c r="I1017">
        <v>1</v>
      </c>
      <c r="J1017">
        <v>2.2000000000000002</v>
      </c>
      <c r="K1017">
        <v>1</v>
      </c>
      <c r="L1017">
        <v>3</v>
      </c>
      <c r="M1017">
        <v>3</v>
      </c>
      <c r="N1017">
        <v>0</v>
      </c>
      <c r="O1017" t="str">
        <f t="shared" si="90"/>
        <v>Male</v>
      </c>
      <c r="P1017" t="str">
        <f t="shared" si="91"/>
        <v>No Disease</v>
      </c>
      <c r="Q1017" t="str">
        <f t="shared" si="92"/>
        <v>Typical Angina</v>
      </c>
      <c r="R1017" t="str">
        <f t="shared" si="93"/>
        <v>Normal</v>
      </c>
      <c r="S1017" t="str">
        <f t="shared" si="94"/>
        <v>Yes</v>
      </c>
      <c r="T1017" t="str" cm="1">
        <f t="array" ref="T1017">_xlfn.IFS(A1016&lt;30,"18-29",A1016&lt;40,"30-39",A1016&lt;50,"40-49",A1016&lt;60,"50-59",A1016&gt;=60,"60+")</f>
        <v>40-49</v>
      </c>
      <c r="U1017" t="str">
        <f t="shared" si="95"/>
        <v>Elevated</v>
      </c>
    </row>
    <row r="1018" spans="1:21">
      <c r="A1018">
        <v>65</v>
      </c>
      <c r="B1018">
        <v>1</v>
      </c>
      <c r="C1018">
        <v>3</v>
      </c>
      <c r="D1018">
        <v>138</v>
      </c>
      <c r="E1018">
        <v>282</v>
      </c>
      <c r="F1018">
        <v>1</v>
      </c>
      <c r="G1018">
        <v>0</v>
      </c>
      <c r="H1018">
        <v>174</v>
      </c>
      <c r="I1018">
        <v>0</v>
      </c>
      <c r="J1018">
        <v>1.4</v>
      </c>
      <c r="K1018">
        <v>1</v>
      </c>
      <c r="L1018">
        <v>1</v>
      </c>
      <c r="M1018">
        <v>2</v>
      </c>
      <c r="N1018">
        <v>0</v>
      </c>
      <c r="O1018" t="str">
        <f t="shared" si="90"/>
        <v>Male</v>
      </c>
      <c r="P1018" t="str">
        <f t="shared" si="91"/>
        <v>No Disease</v>
      </c>
      <c r="Q1018" t="str">
        <f t="shared" si="92"/>
        <v>Asymptomatic</v>
      </c>
      <c r="R1018" t="str">
        <f t="shared" si="93"/>
        <v>High</v>
      </c>
      <c r="S1018" t="str">
        <f t="shared" si="94"/>
        <v>No</v>
      </c>
      <c r="T1018" t="str" cm="1">
        <f t="array" ref="T1018">_xlfn.IFS(A1017&lt;30,"18-29",A1017&lt;40,"30-39",A1017&lt;50,"40-49",A1017&lt;60,"50-59",A1017&gt;=60,"60+")</f>
        <v>50-59</v>
      </c>
      <c r="U1018" t="str">
        <f t="shared" si="95"/>
        <v>High (Stage 1)</v>
      </c>
    </row>
    <row r="1019" spans="1:21">
      <c r="A1019">
        <v>53</v>
      </c>
      <c r="B1019">
        <v>1</v>
      </c>
      <c r="C1019">
        <v>0</v>
      </c>
      <c r="D1019">
        <v>123</v>
      </c>
      <c r="E1019">
        <v>282</v>
      </c>
      <c r="F1019">
        <v>0</v>
      </c>
      <c r="G1019">
        <v>1</v>
      </c>
      <c r="H1019">
        <v>95</v>
      </c>
      <c r="I1019">
        <v>1</v>
      </c>
      <c r="J1019">
        <v>2</v>
      </c>
      <c r="K1019">
        <v>1</v>
      </c>
      <c r="L1019">
        <v>2</v>
      </c>
      <c r="M1019">
        <v>3</v>
      </c>
      <c r="N1019">
        <v>0</v>
      </c>
      <c r="O1019" t="str">
        <f t="shared" si="90"/>
        <v>Male</v>
      </c>
      <c r="P1019" t="str">
        <f t="shared" si="91"/>
        <v>No Disease</v>
      </c>
      <c r="Q1019" t="str">
        <f t="shared" si="92"/>
        <v>Typical Angina</v>
      </c>
      <c r="R1019" t="str">
        <f t="shared" si="93"/>
        <v>Normal</v>
      </c>
      <c r="S1019" t="str">
        <f t="shared" si="94"/>
        <v>Yes</v>
      </c>
      <c r="T1019" t="str" cm="1">
        <f t="array" ref="T1019">_xlfn.IFS(A1018&lt;30,"18-29",A1018&lt;40,"30-39",A1018&lt;50,"40-49",A1018&lt;60,"50-59",A1018&gt;=60,"60+")</f>
        <v>60+</v>
      </c>
      <c r="U1019" t="str">
        <f t="shared" si="95"/>
        <v>Elevated</v>
      </c>
    </row>
    <row r="1020" spans="1:21">
      <c r="A1020">
        <v>41</v>
      </c>
      <c r="B1020">
        <v>1</v>
      </c>
      <c r="C1020">
        <v>0</v>
      </c>
      <c r="D1020">
        <v>110</v>
      </c>
      <c r="E1020">
        <v>172</v>
      </c>
      <c r="F1020">
        <v>0</v>
      </c>
      <c r="G1020">
        <v>0</v>
      </c>
      <c r="H1020">
        <v>158</v>
      </c>
      <c r="I1020">
        <v>0</v>
      </c>
      <c r="J1020">
        <v>0</v>
      </c>
      <c r="K1020">
        <v>2</v>
      </c>
      <c r="L1020">
        <v>0</v>
      </c>
      <c r="M1020">
        <v>3</v>
      </c>
      <c r="N1020">
        <v>0</v>
      </c>
      <c r="O1020" t="str">
        <f t="shared" si="90"/>
        <v>Male</v>
      </c>
      <c r="P1020" t="str">
        <f t="shared" si="91"/>
        <v>No Disease</v>
      </c>
      <c r="Q1020" t="str">
        <f t="shared" si="92"/>
        <v>Typical Angina</v>
      </c>
      <c r="R1020" t="str">
        <f t="shared" si="93"/>
        <v>Normal</v>
      </c>
      <c r="S1020" t="str">
        <f t="shared" si="94"/>
        <v>No</v>
      </c>
      <c r="T1020" t="str" cm="1">
        <f t="array" ref="T1020">_xlfn.IFS(A1019&lt;30,"18-29",A1019&lt;40,"30-39",A1019&lt;50,"40-49",A1019&lt;60,"50-59",A1019&gt;=60,"60+")</f>
        <v>50-59</v>
      </c>
      <c r="U1020" t="str">
        <f t="shared" si="95"/>
        <v>Normal</v>
      </c>
    </row>
    <row r="1021" spans="1:21">
      <c r="A1021">
        <v>47</v>
      </c>
      <c r="B1021">
        <v>1</v>
      </c>
      <c r="C1021">
        <v>0</v>
      </c>
      <c r="D1021">
        <v>112</v>
      </c>
      <c r="E1021">
        <v>204</v>
      </c>
      <c r="F1021">
        <v>0</v>
      </c>
      <c r="G1021">
        <v>1</v>
      </c>
      <c r="H1021">
        <v>143</v>
      </c>
      <c r="I1021">
        <v>0</v>
      </c>
      <c r="J1021">
        <v>0.1</v>
      </c>
      <c r="K1021">
        <v>2</v>
      </c>
      <c r="L1021">
        <v>0</v>
      </c>
      <c r="M1021">
        <v>2</v>
      </c>
      <c r="N1021">
        <v>1</v>
      </c>
      <c r="O1021" t="str">
        <f t="shared" si="90"/>
        <v>Male</v>
      </c>
      <c r="P1021" t="str">
        <f t="shared" si="91"/>
        <v>Heart Disease</v>
      </c>
      <c r="Q1021" t="str">
        <f t="shared" si="92"/>
        <v>Typical Angina</v>
      </c>
      <c r="R1021" t="str">
        <f t="shared" si="93"/>
        <v>Normal</v>
      </c>
      <c r="S1021" t="str">
        <f t="shared" si="94"/>
        <v>No</v>
      </c>
      <c r="T1021" t="str" cm="1">
        <f t="array" ref="T1021">_xlfn.IFS(A1020&lt;30,"18-29",A1020&lt;40,"30-39",A1020&lt;50,"40-49",A1020&lt;60,"50-59",A1020&gt;=60,"60+")</f>
        <v>40-49</v>
      </c>
      <c r="U1021" t="str">
        <f t="shared" si="95"/>
        <v>Normal</v>
      </c>
    </row>
    <row r="1022" spans="1:21">
      <c r="A1022">
        <v>59</v>
      </c>
      <c r="B1022">
        <v>1</v>
      </c>
      <c r="C1022">
        <v>1</v>
      </c>
      <c r="D1022">
        <v>140</v>
      </c>
      <c r="E1022">
        <v>221</v>
      </c>
      <c r="F1022">
        <v>0</v>
      </c>
      <c r="G1022">
        <v>1</v>
      </c>
      <c r="H1022">
        <v>164</v>
      </c>
      <c r="I1022">
        <v>1</v>
      </c>
      <c r="J1022">
        <v>0</v>
      </c>
      <c r="K1022">
        <v>2</v>
      </c>
      <c r="L1022">
        <v>0</v>
      </c>
      <c r="M1022">
        <v>2</v>
      </c>
      <c r="N1022">
        <v>1</v>
      </c>
      <c r="O1022" t="str">
        <f t="shared" si="90"/>
        <v>Male</v>
      </c>
      <c r="P1022" t="str">
        <f t="shared" si="91"/>
        <v>Heart Disease</v>
      </c>
      <c r="Q1022" t="str">
        <f t="shared" si="92"/>
        <v>Atypical Angina</v>
      </c>
      <c r="R1022" t="str">
        <f t="shared" si="93"/>
        <v>Normal</v>
      </c>
      <c r="S1022" t="str">
        <f t="shared" si="94"/>
        <v>Yes</v>
      </c>
      <c r="T1022" t="str" cm="1">
        <f t="array" ref="T1022">_xlfn.IFS(A1021&lt;30,"18-29",A1021&lt;40,"30-39",A1021&lt;50,"40-49",A1021&lt;60,"50-59",A1021&gt;=60,"60+")</f>
        <v>40-49</v>
      </c>
      <c r="U1022" t="str">
        <f t="shared" si="95"/>
        <v>High (Stage 2)</v>
      </c>
    </row>
    <row r="1023" spans="1:21">
      <c r="A1023">
        <v>60</v>
      </c>
      <c r="B1023">
        <v>1</v>
      </c>
      <c r="C1023">
        <v>0</v>
      </c>
      <c r="D1023">
        <v>125</v>
      </c>
      <c r="E1023">
        <v>258</v>
      </c>
      <c r="F1023">
        <v>0</v>
      </c>
      <c r="G1023">
        <v>0</v>
      </c>
      <c r="H1023">
        <v>141</v>
      </c>
      <c r="I1023">
        <v>1</v>
      </c>
      <c r="J1023">
        <v>2.8</v>
      </c>
      <c r="K1023">
        <v>1</v>
      </c>
      <c r="L1023">
        <v>1</v>
      </c>
      <c r="M1023">
        <v>3</v>
      </c>
      <c r="N1023">
        <v>0</v>
      </c>
      <c r="O1023" t="str">
        <f t="shared" si="90"/>
        <v>Male</v>
      </c>
      <c r="P1023" t="str">
        <f t="shared" si="91"/>
        <v>No Disease</v>
      </c>
      <c r="Q1023" t="str">
        <f t="shared" si="92"/>
        <v>Typical Angina</v>
      </c>
      <c r="R1023" t="str">
        <f t="shared" si="93"/>
        <v>Normal</v>
      </c>
      <c r="S1023" t="str">
        <f t="shared" si="94"/>
        <v>Yes</v>
      </c>
      <c r="T1023" t="str" cm="1">
        <f t="array" ref="T1023">_xlfn.IFS(A1022&lt;30,"18-29",A1022&lt;40,"30-39",A1022&lt;50,"40-49",A1022&lt;60,"50-59",A1022&gt;=60,"60+")</f>
        <v>50-59</v>
      </c>
      <c r="U1023" t="str">
        <f t="shared" si="95"/>
        <v>Elevated</v>
      </c>
    </row>
    <row r="1024" spans="1:21">
      <c r="A1024">
        <v>47</v>
      </c>
      <c r="B1024">
        <v>1</v>
      </c>
      <c r="C1024">
        <v>0</v>
      </c>
      <c r="D1024">
        <v>110</v>
      </c>
      <c r="E1024">
        <v>275</v>
      </c>
      <c r="F1024">
        <v>0</v>
      </c>
      <c r="G1024">
        <v>0</v>
      </c>
      <c r="H1024">
        <v>118</v>
      </c>
      <c r="I1024">
        <v>1</v>
      </c>
      <c r="J1024">
        <v>1</v>
      </c>
      <c r="K1024">
        <v>1</v>
      </c>
      <c r="L1024">
        <v>1</v>
      </c>
      <c r="M1024">
        <v>2</v>
      </c>
      <c r="N1024">
        <v>0</v>
      </c>
      <c r="O1024" t="str">
        <f t="shared" si="90"/>
        <v>Male</v>
      </c>
      <c r="P1024" t="str">
        <f t="shared" si="91"/>
        <v>No Disease</v>
      </c>
      <c r="Q1024" t="str">
        <f t="shared" si="92"/>
        <v>Typical Angina</v>
      </c>
      <c r="R1024" t="str">
        <f t="shared" si="93"/>
        <v>Normal</v>
      </c>
      <c r="S1024" t="str">
        <f t="shared" si="94"/>
        <v>Yes</v>
      </c>
      <c r="T1024" t="str" cm="1">
        <f t="array" ref="T1024">_xlfn.IFS(A1023&lt;30,"18-29",A1023&lt;40,"30-39",A1023&lt;50,"40-49",A1023&lt;60,"50-59",A1023&gt;=60,"60+")</f>
        <v>60+</v>
      </c>
      <c r="U1024" t="str">
        <f t="shared" si="95"/>
        <v>Normal</v>
      </c>
    </row>
    <row r="1025" spans="1:21">
      <c r="A1025">
        <v>50</v>
      </c>
      <c r="B1025">
        <v>0</v>
      </c>
      <c r="C1025">
        <v>0</v>
      </c>
      <c r="D1025">
        <v>110</v>
      </c>
      <c r="E1025">
        <v>254</v>
      </c>
      <c r="F1025">
        <v>0</v>
      </c>
      <c r="G1025">
        <v>0</v>
      </c>
      <c r="H1025">
        <v>159</v>
      </c>
      <c r="I1025">
        <v>0</v>
      </c>
      <c r="J1025">
        <v>0</v>
      </c>
      <c r="K1025">
        <v>2</v>
      </c>
      <c r="L1025">
        <v>0</v>
      </c>
      <c r="M1025">
        <v>2</v>
      </c>
      <c r="N1025">
        <v>1</v>
      </c>
      <c r="O1025" t="str">
        <f t="shared" si="90"/>
        <v>Female</v>
      </c>
      <c r="P1025" t="str">
        <f t="shared" si="91"/>
        <v>Heart Disease</v>
      </c>
      <c r="Q1025" t="str">
        <f t="shared" si="92"/>
        <v>Typical Angina</v>
      </c>
      <c r="R1025" t="str">
        <f t="shared" si="93"/>
        <v>Normal</v>
      </c>
      <c r="S1025" t="str">
        <f t="shared" si="94"/>
        <v>No</v>
      </c>
      <c r="T1025" t="str" cm="1">
        <f t="array" ref="T1025">_xlfn.IFS(A1024&lt;30,"18-29",A1024&lt;40,"30-39",A1024&lt;50,"40-49",A1024&lt;60,"50-59",A1024&gt;=60,"60+")</f>
        <v>40-49</v>
      </c>
      <c r="U1025" t="str">
        <f t="shared" si="95"/>
        <v>Normal</v>
      </c>
    </row>
    <row r="1026" spans="1:21">
      <c r="A1026">
        <v>54</v>
      </c>
      <c r="B1026">
        <v>1</v>
      </c>
      <c r="C1026">
        <v>0</v>
      </c>
      <c r="D1026">
        <v>120</v>
      </c>
      <c r="E1026">
        <v>188</v>
      </c>
      <c r="F1026">
        <v>0</v>
      </c>
      <c r="G1026">
        <v>1</v>
      </c>
      <c r="H1026">
        <v>113</v>
      </c>
      <c r="I1026">
        <v>0</v>
      </c>
      <c r="J1026">
        <v>1.4</v>
      </c>
      <c r="K1026">
        <v>1</v>
      </c>
      <c r="L1026">
        <v>1</v>
      </c>
      <c r="M1026">
        <v>3</v>
      </c>
      <c r="N1026">
        <v>0</v>
      </c>
      <c r="O1026" t="str">
        <f t="shared" si="90"/>
        <v>Male</v>
      </c>
      <c r="P1026" t="str">
        <f t="shared" si="91"/>
        <v>No Disease</v>
      </c>
      <c r="Q1026" t="str">
        <f t="shared" si="92"/>
        <v>Typical Angina</v>
      </c>
      <c r="R1026" t="str">
        <f t="shared" si="93"/>
        <v>Normal</v>
      </c>
      <c r="S1026" t="str">
        <f t="shared" si="94"/>
        <v>No</v>
      </c>
      <c r="T1026" t="str" cm="1">
        <f t="array" ref="T1026">_xlfn.IFS(A1025&lt;30,"18-29",A1025&lt;40,"30-39",A1025&lt;50,"40-49",A1025&lt;60,"50-59",A1025&gt;=60,"60+")</f>
        <v>50-59</v>
      </c>
      <c r="U1026" t="str">
        <f t="shared" si="95"/>
        <v>Elevated</v>
      </c>
    </row>
    <row r="1027" spans="1:21">
      <c r="O1027" t="str">
        <f t="shared" ref="O1027:O1028" si="96">IF(B1027=1,"Male","Female")</f>
        <v>Female</v>
      </c>
      <c r="P1027" t="str">
        <f t="shared" ref="P1027:P1028" si="97">IF(N1027=1,"Heart Disease","No Disease")</f>
        <v>No Disease</v>
      </c>
      <c r="Q1027" t="str">
        <f t="shared" si="92"/>
        <v>Typical Angina</v>
      </c>
      <c r="R1027" t="str">
        <f t="shared" ref="R1027:R1028" si="98">IF(F1027=1,"High","Normal")</f>
        <v>Normal</v>
      </c>
      <c r="S1027" t="str">
        <f t="shared" ref="S1027:S1028" si="99">IF(I1027=1,"Yes","No")</f>
        <v>No</v>
      </c>
      <c r="T1027" t="str" cm="1">
        <f t="array" ref="T1027">_xlfn.IFS(A1026&lt;30,"18-29",A1026&lt;40,"30-39",A1026&lt;50,"40-49",A1026&lt;60,"50-59",A1026&gt;=60,"60+")</f>
        <v>50-59</v>
      </c>
      <c r="U1027" t="str">
        <f t="shared" si="95"/>
        <v>Normal</v>
      </c>
    </row>
    <row r="1028" spans="1:21">
      <c r="O1028" t="str">
        <f t="shared" si="96"/>
        <v>Female</v>
      </c>
      <c r="P1028" t="str">
        <f t="shared" si="97"/>
        <v>No Disease</v>
      </c>
      <c r="Q1028" t="str">
        <f t="shared" si="92"/>
        <v>Typical Angina</v>
      </c>
      <c r="R1028" t="str">
        <f t="shared" si="98"/>
        <v>Normal</v>
      </c>
      <c r="S1028" t="str">
        <f t="shared" si="99"/>
        <v>No</v>
      </c>
      <c r="T1028" t="str" cm="1">
        <f t="array" ref="T1028">_xlfn.IFS(A1027&lt;30,"18-29",A1027&lt;40,"30-39",A1027&lt;50,"40-49",A1027&lt;60,"50-59",A1027&gt;=60,"60+")</f>
        <v>18-29</v>
      </c>
      <c r="U1028" t="str">
        <f t="shared" si="95"/>
        <v>Normal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F239B-891C-46A2-A28D-4727B449E105}">
  <dimension ref="A1:Q5"/>
  <sheetViews>
    <sheetView topLeftCell="G1" workbookViewId="0">
      <selection activeCell="K3" sqref="K3"/>
    </sheetView>
  </sheetViews>
  <sheetFormatPr defaultRowHeight="14.4"/>
  <cols>
    <col min="4" max="4" width="12.21875" customWidth="1"/>
    <col min="5" max="5" width="14.109375" customWidth="1"/>
    <col min="7" max="7" width="16.44140625" customWidth="1"/>
    <col min="8" max="8" width="14.77734375" customWidth="1"/>
    <col min="10" max="10" width="20.88671875" customWidth="1"/>
    <col min="11" max="11" width="16.21875" customWidth="1"/>
    <col min="13" max="13" width="20.21875" customWidth="1"/>
    <col min="14" max="14" width="10.77734375" customWidth="1"/>
    <col min="16" max="16" width="13.77734375" customWidth="1"/>
    <col min="17" max="17" width="23.88671875" customWidth="1"/>
  </cols>
  <sheetData>
    <row r="1" spans="1:17">
      <c r="A1" s="2" t="s">
        <v>14</v>
      </c>
      <c r="B1" s="2" t="s">
        <v>14</v>
      </c>
      <c r="D1" s="2" t="s">
        <v>17</v>
      </c>
      <c r="E1" s="2" t="s">
        <v>18</v>
      </c>
      <c r="G1" s="2" t="s">
        <v>21</v>
      </c>
      <c r="H1" s="2" t="s">
        <v>22</v>
      </c>
      <c r="J1" s="2" t="s">
        <v>34</v>
      </c>
      <c r="K1" s="2" t="s">
        <v>35</v>
      </c>
      <c r="M1" s="2" t="s">
        <v>36</v>
      </c>
      <c r="N1" s="2" t="s">
        <v>37</v>
      </c>
      <c r="P1" s="2" t="s">
        <v>41</v>
      </c>
      <c r="Q1" s="2" t="s">
        <v>42</v>
      </c>
    </row>
    <row r="2" spans="1:17">
      <c r="A2" s="1">
        <v>0</v>
      </c>
      <c r="B2" s="1" t="s">
        <v>15</v>
      </c>
      <c r="D2" s="1">
        <v>0</v>
      </c>
      <c r="E2" s="1" t="s">
        <v>19</v>
      </c>
      <c r="G2" s="1">
        <v>0</v>
      </c>
      <c r="H2" s="1" t="s">
        <v>23</v>
      </c>
      <c r="J2" s="1">
        <v>0</v>
      </c>
      <c r="K2" s="1" t="s">
        <v>45</v>
      </c>
      <c r="M2" s="1" t="s">
        <v>38</v>
      </c>
      <c r="N2" s="1" t="s">
        <v>39</v>
      </c>
      <c r="P2" s="1">
        <v>0</v>
      </c>
      <c r="Q2" s="1" t="s">
        <v>39</v>
      </c>
    </row>
    <row r="3" spans="1:17">
      <c r="A3" s="1">
        <v>1</v>
      </c>
      <c r="B3" s="1" t="s">
        <v>16</v>
      </c>
      <c r="D3" s="1">
        <v>1</v>
      </c>
      <c r="E3" s="1" t="s">
        <v>20</v>
      </c>
      <c r="G3" s="1">
        <v>1</v>
      </c>
      <c r="H3" s="1" t="s">
        <v>24</v>
      </c>
      <c r="J3" s="1">
        <v>1</v>
      </c>
      <c r="K3" s="1" t="s">
        <v>46</v>
      </c>
      <c r="M3" s="1">
        <v>1</v>
      </c>
      <c r="N3" s="1" t="s">
        <v>40</v>
      </c>
      <c r="P3" s="1">
        <v>1</v>
      </c>
      <c r="Q3" s="1" t="s">
        <v>43</v>
      </c>
    </row>
    <row r="4" spans="1:17">
      <c r="G4" s="1">
        <v>2</v>
      </c>
      <c r="H4" s="1" t="s">
        <v>25</v>
      </c>
      <c r="P4" s="1">
        <v>2</v>
      </c>
      <c r="Q4" s="1" t="s">
        <v>44</v>
      </c>
    </row>
    <row r="5" spans="1:17">
      <c r="G5" s="1">
        <v>3</v>
      </c>
      <c r="H5" s="1"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1B360-3BEF-4629-A15C-0363BE19C2F7}">
  <dimension ref="A1:J33"/>
  <sheetViews>
    <sheetView topLeftCell="B1" workbookViewId="0">
      <selection activeCell="B7" sqref="B7"/>
    </sheetView>
  </sheetViews>
  <sheetFormatPr defaultRowHeight="14.4"/>
  <cols>
    <col min="1" max="1" width="21.5546875" bestFit="1" customWidth="1"/>
    <col min="2" max="2" width="15.5546875" bestFit="1" customWidth="1"/>
    <col min="3" max="3" width="10.109375" bestFit="1" customWidth="1"/>
    <col min="4" max="4" width="10.77734375" bestFit="1" customWidth="1"/>
    <col min="5" max="5" width="22.6640625" bestFit="1" customWidth="1"/>
    <col min="7" max="7" width="21.5546875" bestFit="1" customWidth="1"/>
    <col min="8" max="8" width="15.5546875" bestFit="1" customWidth="1"/>
    <col min="9" max="9" width="10.109375" bestFit="1" customWidth="1"/>
    <col min="10" max="10" width="10.77734375" bestFit="1" customWidth="1"/>
  </cols>
  <sheetData>
    <row r="1" spans="1:10" ht="18">
      <c r="A1" s="11" t="s">
        <v>50</v>
      </c>
      <c r="B1" s="11"/>
      <c r="D1" s="9" t="s">
        <v>60</v>
      </c>
      <c r="E1" s="9"/>
      <c r="G1" s="12" t="s">
        <v>62</v>
      </c>
      <c r="H1" s="13"/>
    </row>
    <row r="2" spans="1:10">
      <c r="A2" s="3" t="s">
        <v>47</v>
      </c>
      <c r="B2" t="s">
        <v>49</v>
      </c>
      <c r="D2" s="3" t="s">
        <v>47</v>
      </c>
      <c r="E2" t="s">
        <v>59</v>
      </c>
      <c r="G2" s="3" t="s">
        <v>47</v>
      </c>
      <c r="H2" t="s">
        <v>61</v>
      </c>
    </row>
    <row r="3" spans="1:10">
      <c r="A3" s="4" t="s">
        <v>20</v>
      </c>
      <c r="B3">
        <v>526</v>
      </c>
      <c r="D3" s="4" t="s">
        <v>54</v>
      </c>
      <c r="E3">
        <v>5</v>
      </c>
      <c r="G3" s="4" t="s">
        <v>26</v>
      </c>
      <c r="H3">
        <v>77</v>
      </c>
    </row>
    <row r="4" spans="1:10">
      <c r="A4" s="4" t="s">
        <v>19</v>
      </c>
      <c r="B4">
        <v>501</v>
      </c>
      <c r="D4" s="4" t="s">
        <v>55</v>
      </c>
      <c r="E4">
        <v>53</v>
      </c>
      <c r="G4" s="4" t="s">
        <v>24</v>
      </c>
      <c r="H4">
        <v>167</v>
      </c>
    </row>
    <row r="5" spans="1:10">
      <c r="A5" s="4" t="s">
        <v>48</v>
      </c>
      <c r="B5">
        <v>1027</v>
      </c>
      <c r="D5" s="4" t="s">
        <v>56</v>
      </c>
      <c r="E5">
        <v>237</v>
      </c>
      <c r="G5" s="4" t="s">
        <v>25</v>
      </c>
      <c r="H5">
        <v>284</v>
      </c>
    </row>
    <row r="6" spans="1:10">
      <c r="D6" s="4" t="s">
        <v>57</v>
      </c>
      <c r="E6">
        <v>423</v>
      </c>
      <c r="G6" s="4" t="s">
        <v>23</v>
      </c>
      <c r="H6">
        <v>499</v>
      </c>
    </row>
    <row r="7" spans="1:10">
      <c r="D7" s="4" t="s">
        <v>58</v>
      </c>
      <c r="E7">
        <v>309</v>
      </c>
      <c r="G7" s="4" t="s">
        <v>48</v>
      </c>
      <c r="H7">
        <v>1027</v>
      </c>
    </row>
    <row r="8" spans="1:10" ht="18">
      <c r="A8" s="9" t="s">
        <v>53</v>
      </c>
      <c r="B8" s="9"/>
      <c r="D8" s="4" t="s">
        <v>48</v>
      </c>
      <c r="E8">
        <v>1027</v>
      </c>
    </row>
    <row r="9" spans="1:10">
      <c r="A9" s="3" t="s">
        <v>47</v>
      </c>
      <c r="B9" t="s">
        <v>52</v>
      </c>
    </row>
    <row r="10" spans="1:10">
      <c r="A10" s="4" t="s">
        <v>15</v>
      </c>
      <c r="B10">
        <v>314</v>
      </c>
    </row>
    <row r="11" spans="1:10">
      <c r="A11" s="4" t="s">
        <v>51</v>
      </c>
      <c r="B11">
        <v>713</v>
      </c>
    </row>
    <row r="12" spans="1:10">
      <c r="A12" s="4" t="s">
        <v>48</v>
      </c>
      <c r="B12">
        <v>1027</v>
      </c>
    </row>
    <row r="15" spans="1:10" ht="21">
      <c r="A15" s="10" t="s">
        <v>63</v>
      </c>
      <c r="B15" s="10"/>
      <c r="C15" s="10"/>
      <c r="D15" s="10"/>
      <c r="E15" s="10"/>
      <c r="F15" s="10"/>
      <c r="G15" s="10"/>
      <c r="H15" s="10"/>
      <c r="I15" s="10"/>
      <c r="J15" s="10"/>
    </row>
    <row r="17" spans="1:10" ht="18">
      <c r="A17" s="12" t="s">
        <v>68</v>
      </c>
      <c r="B17" s="12"/>
      <c r="D17" s="9" t="s">
        <v>70</v>
      </c>
      <c r="E17" s="9"/>
      <c r="G17" s="9" t="s">
        <v>72</v>
      </c>
      <c r="H17" s="9"/>
      <c r="I17" s="9"/>
      <c r="J17" s="9"/>
    </row>
    <row r="18" spans="1:10">
      <c r="A18" s="3" t="s">
        <v>47</v>
      </c>
      <c r="B18" t="s">
        <v>67</v>
      </c>
      <c r="D18" s="3" t="s">
        <v>47</v>
      </c>
      <c r="E18" t="s">
        <v>69</v>
      </c>
      <c r="G18" s="3" t="s">
        <v>49</v>
      </c>
      <c r="H18" s="3" t="s">
        <v>71</v>
      </c>
    </row>
    <row r="19" spans="1:10">
      <c r="A19" s="4" t="s">
        <v>64</v>
      </c>
      <c r="B19">
        <v>256</v>
      </c>
      <c r="D19" s="4" t="s">
        <v>45</v>
      </c>
      <c r="E19">
        <v>682</v>
      </c>
      <c r="G19" s="3" t="s">
        <v>47</v>
      </c>
      <c r="H19" t="s">
        <v>20</v>
      </c>
      <c r="I19" t="s">
        <v>19</v>
      </c>
      <c r="J19" t="s">
        <v>48</v>
      </c>
    </row>
    <row r="20" spans="1:10">
      <c r="A20" s="4" t="s">
        <v>65</v>
      </c>
      <c r="B20">
        <v>244</v>
      </c>
      <c r="D20" s="4" t="s">
        <v>46</v>
      </c>
      <c r="E20">
        <v>345</v>
      </c>
      <c r="G20" s="4" t="s">
        <v>15</v>
      </c>
      <c r="H20">
        <v>226</v>
      </c>
      <c r="I20">
        <v>88</v>
      </c>
      <c r="J20">
        <v>314</v>
      </c>
    </row>
    <row r="21" spans="1:10">
      <c r="A21" s="4" t="s">
        <v>66</v>
      </c>
      <c r="B21">
        <v>324</v>
      </c>
      <c r="D21" s="4" t="s">
        <v>48</v>
      </c>
      <c r="E21">
        <v>1027</v>
      </c>
      <c r="G21" s="4" t="s">
        <v>51</v>
      </c>
      <c r="H21">
        <v>300</v>
      </c>
      <c r="I21">
        <v>413</v>
      </c>
      <c r="J21">
        <v>713</v>
      </c>
    </row>
    <row r="22" spans="1:10">
      <c r="A22" s="4" t="s">
        <v>39</v>
      </c>
      <c r="B22">
        <v>203</v>
      </c>
      <c r="G22" s="4" t="s">
        <v>48</v>
      </c>
      <c r="H22">
        <v>526</v>
      </c>
      <c r="I22">
        <v>501</v>
      </c>
      <c r="J22">
        <v>1027</v>
      </c>
    </row>
    <row r="23" spans="1:10">
      <c r="A23" s="4" t="s">
        <v>48</v>
      </c>
      <c r="B23">
        <v>1027</v>
      </c>
    </row>
    <row r="26" spans="1:10" ht="18">
      <c r="A26" s="9" t="s">
        <v>73</v>
      </c>
      <c r="B26" s="9"/>
      <c r="C26" s="9"/>
      <c r="D26" s="9"/>
    </row>
    <row r="27" spans="1:10">
      <c r="A27" s="3" t="s">
        <v>49</v>
      </c>
      <c r="B27" s="3" t="s">
        <v>71</v>
      </c>
    </row>
    <row r="28" spans="1:10">
      <c r="A28" s="3" t="s">
        <v>47</v>
      </c>
      <c r="B28" t="s">
        <v>20</v>
      </c>
      <c r="C28" t="s">
        <v>19</v>
      </c>
      <c r="D28" t="s">
        <v>48</v>
      </c>
    </row>
    <row r="29" spans="1:10">
      <c r="A29" s="4" t="s">
        <v>64</v>
      </c>
      <c r="B29">
        <v>128</v>
      </c>
      <c r="C29">
        <v>128</v>
      </c>
      <c r="D29">
        <v>256</v>
      </c>
    </row>
    <row r="30" spans="1:10">
      <c r="A30" s="4" t="s">
        <v>65</v>
      </c>
      <c r="B30">
        <v>144</v>
      </c>
      <c r="C30">
        <v>100</v>
      </c>
      <c r="D30">
        <v>244</v>
      </c>
    </row>
    <row r="31" spans="1:10">
      <c r="A31" s="4" t="s">
        <v>66</v>
      </c>
      <c r="B31">
        <v>137</v>
      </c>
      <c r="C31">
        <v>187</v>
      </c>
      <c r="D31">
        <v>324</v>
      </c>
    </row>
    <row r="32" spans="1:10">
      <c r="A32" s="4" t="s">
        <v>39</v>
      </c>
      <c r="B32">
        <v>117</v>
      </c>
      <c r="C32">
        <v>86</v>
      </c>
      <c r="D32">
        <v>203</v>
      </c>
    </row>
    <row r="33" spans="1:4">
      <c r="A33" s="4" t="s">
        <v>48</v>
      </c>
      <c r="B33">
        <v>526</v>
      </c>
      <c r="C33">
        <v>501</v>
      </c>
      <c r="D33">
        <v>1027</v>
      </c>
    </row>
  </sheetData>
  <mergeCells count="9">
    <mergeCell ref="D17:E17"/>
    <mergeCell ref="G17:J17"/>
    <mergeCell ref="A15:J15"/>
    <mergeCell ref="A26:D26"/>
    <mergeCell ref="A1:B1"/>
    <mergeCell ref="A8:B8"/>
    <mergeCell ref="D1:E1"/>
    <mergeCell ref="G1:H1"/>
    <mergeCell ref="A17:B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38673-0BDA-427F-8775-71A4319562A4}">
  <dimension ref="A1:AX11"/>
  <sheetViews>
    <sheetView showGridLines="0" tabSelected="1" zoomScale="34" zoomScaleNormal="86" workbookViewId="0">
      <selection activeCell="AI69" sqref="AI69"/>
    </sheetView>
  </sheetViews>
  <sheetFormatPr defaultRowHeight="14.4"/>
  <sheetData>
    <row r="1" spans="1:50" ht="14.4" customHeight="1">
      <c r="A1" s="8" t="s">
        <v>76</v>
      </c>
      <c r="B1" s="8"/>
      <c r="C1" s="8"/>
      <c r="D1" s="8"/>
      <c r="E1" s="8"/>
      <c r="F1" s="8"/>
      <c r="G1" s="8"/>
      <c r="H1" s="8"/>
      <c r="I1" s="8"/>
      <c r="J1" s="8"/>
      <c r="K1" s="8"/>
      <c r="L1" s="8"/>
      <c r="M1" s="8"/>
      <c r="N1" s="8"/>
      <c r="O1" s="8"/>
      <c r="P1" s="8"/>
      <c r="Q1" s="8"/>
      <c r="R1" s="8"/>
      <c r="S1" s="8"/>
      <c r="T1" s="8"/>
      <c r="U1" s="8"/>
      <c r="V1" s="8"/>
      <c r="W1" s="8"/>
      <c r="X1" s="8"/>
      <c r="Y1" s="8"/>
      <c r="Z1" s="8"/>
      <c r="AA1" s="8"/>
    </row>
    <row r="2" spans="1:50">
      <c r="A2" s="8"/>
      <c r="B2" s="8"/>
      <c r="C2" s="8"/>
      <c r="D2" s="8"/>
      <c r="E2" s="8"/>
      <c r="F2" s="8"/>
      <c r="G2" s="8"/>
      <c r="H2" s="8"/>
      <c r="I2" s="8"/>
      <c r="J2" s="8"/>
      <c r="K2" s="8"/>
      <c r="L2" s="8"/>
      <c r="M2" s="8"/>
      <c r="N2" s="8"/>
      <c r="O2" s="8"/>
      <c r="P2" s="8"/>
      <c r="Q2" s="8"/>
      <c r="R2" s="8"/>
      <c r="S2" s="8"/>
      <c r="T2" s="8"/>
      <c r="U2" s="8"/>
      <c r="V2" s="8"/>
      <c r="W2" s="8"/>
      <c r="X2" s="8"/>
      <c r="Y2" s="8"/>
      <c r="Z2" s="8"/>
      <c r="AA2" s="8"/>
    </row>
    <row r="4" spans="1:50" ht="21">
      <c r="B4" s="5"/>
      <c r="H4" s="5"/>
      <c r="K4" s="6"/>
      <c r="Q4" s="6"/>
      <c r="U4" t="s">
        <v>74</v>
      </c>
      <c r="V4" s="6"/>
    </row>
    <row r="5" spans="1:50" ht="21">
      <c r="P5" s="6"/>
      <c r="U5" s="7"/>
      <c r="X5" s="6"/>
      <c r="AE5" s="6"/>
      <c r="AF5" s="6"/>
      <c r="AN5" s="6"/>
    </row>
    <row r="6" spans="1:50" ht="21">
      <c r="I6" s="5" t="s">
        <v>75</v>
      </c>
      <c r="Q6" s="6"/>
      <c r="X6" s="6"/>
      <c r="AL6" s="6"/>
    </row>
    <row r="7" spans="1:50" ht="21">
      <c r="Q7" s="5"/>
      <c r="T7" s="6"/>
      <c r="Z7" s="6"/>
      <c r="AE7" s="6"/>
    </row>
    <row r="8" spans="1:50">
      <c r="AO8" s="6"/>
      <c r="AX8" s="6"/>
    </row>
    <row r="11" spans="1:50" ht="21">
      <c r="V11" s="7"/>
    </row>
  </sheetData>
  <mergeCells count="1">
    <mergeCell ref="A1:AA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ROW_DATA</vt:lpstr>
      <vt:lpstr>LOOKUP</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Riya Mishra</cp:lastModifiedBy>
  <dcterms:created xsi:type="dcterms:W3CDTF">2026-07-26T18:46:22Z</dcterms:created>
  <dcterms:modified xsi:type="dcterms:W3CDTF">2026-07-29T05:14:55Z</dcterms:modified>
</cp:coreProperties>
</file>